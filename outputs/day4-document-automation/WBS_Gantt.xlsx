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46c65d3ee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0ebe4734fd15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mm/dd"/>
  </x:numFmts>
  <x:fonts count="4">
    <x:font>
      <x:sz val="11"/>
      <x:name val="Carlito"/>
    </x:font>
    <x:font>
      <x:sz val="11"/>
      <x:color rgb="FF171717"/>
      <x:name val="Arial"/>
    </x:font>
    <x:font>
      <x:b/>
      <x:sz val="17"/>
      <x:color rgb="FF17171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DE7F4"/>
      </x:patternFill>
    </x:fill>
    <x:fill>
      <x:patternFill patternType="solid">
        <x:fgColor rgb="FF23344F"/>
      </x:patternFill>
    </x:fill>
    <x:fill>
      <x:patternFill patternType="solid">
        <x:fgColor rgb="FFF4F7F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color rgb="FF171717"/>
      </x:font>
      <x:fill>
        <x:patternFill patternType="solid">
          <x:bgColor rgb="FFAAB5C3"/>
        </x:patternFill>
      </x:fill>
    </x:dxf>
    <x:dxf>
      <x:font>
        <x:color rgb="FF171717"/>
      </x:font>
      <x:fill>
        <x:patternFill patternType="solid">
          <x:bgColor rgb="FFF9DAD7"/>
        </x:patternFill>
      </x:fill>
    </x:dxf>
    <x:dxf>
      <x:font>
        <x:color rgb="FF171717"/>
      </x:font>
      <x:fill>
        <x:patternFill patternType="solid">
          <x:bgColor rgb="FF23344F"/>
        </x:patternFill>
      </x:fill>
    </x:dxf>
    <x:dxf>
      <x:font>
        <x:color rgb="FF9C2424"/>
      </x:font>
      <x:fill>
        <x:patternFill patternType="solid">
          <x:bgColor rgb="FFF9DAD7"/>
        </x:patternFill>
      </x:fill>
    </x:dxf>
    <x:dxf>
      <x:font>
        <x:color rgb="FF9C2424"/>
      </x:font>
      <x:fill>
        <x:patternFill patternType="solid">
          <x:bgColor rgb="FFF9DA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6107c84df4910" /><Relationship Type="http://schemas.openxmlformats.org/officeDocument/2006/relationships/theme" Target="/xl/theme/theme1.xml" Id="R545d8e34d3ea4d04" /><Relationship Type="http://schemas.openxmlformats.org/officeDocument/2006/relationships/sharedStrings" Target="/xl/sharedStrings.xml" Id="R0a022671bb8f48f3" /><Relationship Type="http://schemas.openxmlformats.org/officeDocument/2006/relationships/worksheet" Target="/xl/worksheets/sheet1.xml" Id="R0ebe4734fd154c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44F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17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9" hidden="0" customWidth="1"/>
    <x:col min="11" max="11" width="12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  <x:col min="37" max="37" width="6" hidden="0" customWidth="1"/>
    <x:col min="38" max="38" width="6" hidden="0" customWidth="1"/>
    <x:col min="39" max="39" width="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</x:row>
    <x:row r="2" ht="32" customHeight="1">
      <x:c r="A2" s="3" t="str">
        <x:v>PR 리뷰·문서 자동화 출시 WBS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4" ht="25" customHeight="1">
      <x:c r="A4" s="2" t="str">
        <x:v>기준일</x:v>
      </x:c>
      <x:c r="B4" s="5" t="n">
        <x:v>46290</x:v>
      </x:c>
      <x:c r="C4" s="2" t="str">
        <x:v>수업용 고정 날짜</x:v>
      </x:c>
      <x:c r="D4" s="2"/>
      <x:c r="E4" s="2"/>
      <x:c r="F4" s="2" t="str">
        <x:v>전체 업무</x:v>
      </x:c>
      <x:c r="G4" s="2" t="str">
        <x:v>완료</x:v>
      </x:c>
      <x:c r="H4" s="2" t="str">
        <x:v>지연</x:v>
      </x:c>
      <x:c r="I4" s="2" t="str">
        <x:v>평균 진척률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</x:row>
    <x:row r="5" ht="25" customHeight="1">
      <x:c r="A5" s="2" t="str">
        <x:v>시작일</x:v>
      </x:c>
      <x:c r="B5" s="5" t="n">
        <x:v>46279</x:v>
      </x:c>
      <x:c r="C5" s="2" t="str">
        <x:v>4주 계획 · 토·일 제외, 공휴일 미반영</x:v>
      </x:c>
      <x:c r="D5" s="2"/>
      <x:c r="E5" s="2"/>
      <x:c r="F5" s="2" t="n">
        <x:f>COUNTA(A9:A22)</x:f>
        <x:v>14</x:v>
      </x:c>
      <x:c r="G5" s="2" t="n">
        <x:f>COUNTIFS(I9:I22,"완료")</x:f>
        <x:v>4</x:v>
      </x:c>
      <x:c r="H5" s="2" t="n">
        <x:f>COUNTIFS(I9:I22,"지연")</x:f>
        <x:v>2</x:v>
      </x:c>
      <x:c r="I5" s="6" t="n">
        <x:f>AVERAGE(F9:F22)</x:f>
        <x:v>0.45714285714285713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</x:row>
    <x:row r="7" ht="25" customHeight="1">
      <x:c r="A7" s="2" t="str">
        <x:v>입력: B4:B5, A:G | 계산: H:K | 간트: 진척 중=네이비, 완료=회색, 지연=연한 빨강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</x:row>
    <x:row r="8" ht="30" customHeight="1">
      <x:c r="A8" s="9" t="str">
        <x:v>ID</x:v>
      </x:c>
      <x:c r="B8" s="9" t="str">
        <x:v>업무</x:v>
      </x:c>
      <x:c r="C8" s="9" t="str">
        <x:v>Role</x:v>
      </x:c>
      <x:c r="D8" s="9" t="str">
        <x:v>시작일</x:v>
      </x:c>
      <x:c r="E8" s="9" t="str">
        <x:v>종료일</x:v>
      </x:c>
      <x:c r="F8" s="9" t="str">
        <x:v>진척률</x:v>
      </x:c>
      <x:c r="G8" s="9" t="str">
        <x:v>선행 ID</x:v>
      </x:c>
      <x:c r="H8" s="9" t="str">
        <x:v>업무일</x:v>
      </x:c>
      <x:c r="I8" s="9" t="str">
        <x:v>상태</x:v>
      </x:c>
      <x:c r="J8" s="9" t="str">
        <x:v>입력 확인</x:v>
      </x:c>
      <x:c r="K8" s="9" t="str">
        <x:v>선행 종료</x:v>
      </x:c>
      <x:c r="L8" s="14" t="n">
        <x:f>$B$5+0</x:f>
        <x:v>46279</x:v>
      </x:c>
      <x:c r="M8" s="14" t="n">
        <x:f>$B$5+1</x:f>
        <x:v>46280</x:v>
      </x:c>
      <x:c r="N8" s="14" t="n">
        <x:f>$B$5+2</x:f>
        <x:v>46281</x:v>
      </x:c>
      <x:c r="O8" s="14" t="n">
        <x:f>$B$5+3</x:f>
        <x:v>46282</x:v>
      </x:c>
      <x:c r="P8" s="14" t="n">
        <x:f>$B$5+4</x:f>
        <x:v>46283</x:v>
      </x:c>
      <x:c r="Q8" s="14" t="n">
        <x:f>$B$5+5</x:f>
        <x:v>46284</x:v>
      </x:c>
      <x:c r="R8" s="14" t="n">
        <x:f>$B$5+6</x:f>
        <x:v>46285</x:v>
      </x:c>
      <x:c r="S8" s="14" t="n">
        <x:f>$B$5+7</x:f>
        <x:v>46286</x:v>
      </x:c>
      <x:c r="T8" s="14" t="n">
        <x:f>$B$5+8</x:f>
        <x:v>46287</x:v>
      </x:c>
      <x:c r="U8" s="14" t="n">
        <x:f>$B$5+9</x:f>
        <x:v>46288</x:v>
      </x:c>
      <x:c r="V8" s="14" t="n">
        <x:f>$B$5+10</x:f>
        <x:v>46289</x:v>
      </x:c>
      <x:c r="W8" s="14" t="n">
        <x:f>$B$5+11</x:f>
        <x:v>46290</x:v>
      </x:c>
      <x:c r="X8" s="14" t="n">
        <x:f>$B$5+12</x:f>
        <x:v>46291</x:v>
      </x:c>
      <x:c r="Y8" s="14" t="n">
        <x:f>$B$5+13</x:f>
        <x:v>46292</x:v>
      </x:c>
      <x:c r="Z8" s="14" t="n">
        <x:f>$B$5+14</x:f>
        <x:v>46293</x:v>
      </x:c>
      <x:c r="AA8" s="14" t="n">
        <x:f>$B$5+15</x:f>
        <x:v>46294</x:v>
      </x:c>
      <x:c r="AB8" s="14" t="n">
        <x:f>$B$5+16</x:f>
        <x:v>46295</x:v>
      </x:c>
      <x:c r="AC8" s="14" t="n">
        <x:f>$B$5+17</x:f>
        <x:v>46296</x:v>
      </x:c>
      <x:c r="AD8" s="14" t="n">
        <x:f>$B$5+18</x:f>
        <x:v>46297</x:v>
      </x:c>
      <x:c r="AE8" s="14" t="n">
        <x:f>$B$5+19</x:f>
        <x:v>46298</x:v>
      </x:c>
      <x:c r="AF8" s="14" t="n">
        <x:f>$B$5+20</x:f>
        <x:v>46299</x:v>
      </x:c>
      <x:c r="AG8" s="14" t="n">
        <x:f>$B$5+21</x:f>
        <x:v>46300</x:v>
      </x:c>
      <x:c r="AH8" s="14" t="n">
        <x:f>$B$5+22</x:f>
        <x:v>46301</x:v>
      </x:c>
      <x:c r="AI8" s="14" t="n">
        <x:f>$B$5+23</x:f>
        <x:v>46302</x:v>
      </x:c>
      <x:c r="AJ8" s="14" t="n">
        <x:f>$B$5+24</x:f>
        <x:v>46303</x:v>
      </x:c>
      <x:c r="AK8" s="14" t="n">
        <x:f>$B$5+25</x:f>
        <x:v>46304</x:v>
      </x:c>
      <x:c r="AL8" s="14" t="n">
        <x:f>$B$5+26</x:f>
        <x:v>46305</x:v>
      </x:c>
      <x:c r="AM8" s="14" t="n">
        <x:f>$B$5+27</x:f>
        <x:v>46306</x:v>
      </x:c>
    </x:row>
    <x:row r="9" ht="25" customHeight="1">
      <x:c r="A9" s="11" t="str">
        <x:v>W01</x:v>
      </x:c>
      <x:c r="B9" s="11" t="str">
        <x:v>요구사항·완료 기준</x:v>
      </x:c>
      <x:c r="C9" s="11" t="str">
        <x:v>PM</x:v>
      </x:c>
      <x:c r="D9" s="12" t="n">
        <x:v>46279</x:v>
      </x:c>
      <x:c r="E9" s="12" t="n">
        <x:v>46280</x:v>
      </x:c>
      <x:c r="F9" s="13" t="n">
        <x:v>1</x:v>
      </x:c>
      <x:c r="G9" s="11" t="str"/>
      <x:c r="H9" s="2" t="n">
        <x:f>IF(J9&lt;&gt;"입력 완료","계산 보류",NETWORKDAYS(D9,E9))</x:f>
        <x:v>2</x:v>
      </x:c>
      <x:c r="I9" s="2" t="str">
        <x:f>IF(J9&lt;&gt;"입력 완료","입력 확인",IF(F9=1,"완료",IF(E9&lt;$B$4,"지연",IF(D9&gt;$B$4,"예정","진행 중"))))</x:f>
        <x:v>완료</x:v>
      </x:c>
      <x:c r="J9" s="2" t="str">
        <x:f>IF(OR(A9="",B9="",C9=""),"필수 입력 누락",IF(COUNTIFS($A$9:$A$22,A9)&lt;&gt;1,"중복 ID",IF(OR(NOT(ISNUMBER(D9)),NOT(ISNUMBER(E9))),"날짜 확인",IF(E9&lt;D9,"종료일 확인",IF(OR(NOT(ISNUMBER(F9)),F9&lt;0,F9&gt;1),"진척률 확인",IF(G9="","입력 완료",IF(OR(G9=A9,COUNTIFS($A$9:$A$22,G9)&lt;&gt;1),"선행 ID 확인",IF(D9&lt;=K9,"선행 일정 충돌","입력 완료"))))))))</x:f>
        <x:v>입력 완료</x:v>
      </x:c>
      <x:c r="K9" s="10" t="str">
        <x:f>IF(G9="","",IF(COUNTIFS($A$9:$A$22,G9)&lt;&gt;1,"선행 ID 확인",VLOOKUP(G9,$A$9:$E$22,5,FALSE)))</x:f>
      </x:c>
      <x:c r="L9" s="2" t="str"/>
      <x:c r="M9" s="2" t="str"/>
      <x:c r="N9" s="2" t="str"/>
      <x:c r="O9" s="2" t="str"/>
      <x:c r="P9" s="2" t="str"/>
      <x:c r="Q9" s="2" t="str"/>
      <x:c r="R9" s="2" t="str"/>
      <x:c r="S9" s="2" t="str"/>
      <x:c r="T9" s="2" t="str"/>
      <x:c r="U9" s="2" t="str"/>
      <x:c r="V9" s="2" t="str"/>
      <x:c r="W9" s="2" t="str"/>
      <x:c r="X9" s="2" t="str"/>
      <x:c r="Y9" s="2" t="str"/>
      <x:c r="Z9" s="2" t="str"/>
      <x:c r="AA9" s="2" t="str"/>
      <x:c r="AB9" s="2" t="str"/>
      <x:c r="AC9" s="2" t="str"/>
      <x:c r="AD9" s="2" t="str"/>
      <x:c r="AE9" s="2" t="str"/>
      <x:c r="AF9" s="2" t="str"/>
      <x:c r="AG9" s="2" t="str"/>
      <x:c r="AH9" s="2" t="str"/>
      <x:c r="AI9" s="2" t="str"/>
      <x:c r="AJ9" s="2" t="str"/>
      <x:c r="AK9" s="2" t="str"/>
      <x:c r="AL9" s="2" t="str"/>
      <x:c r="AM9" s="2" t="str"/>
    </x:row>
    <x:row r="10" ht="25" customHeight="1">
      <x:c r="A10" s="11" t="str">
        <x:v>W02</x:v>
      </x:c>
      <x:c r="B10" s="11" t="str">
        <x:v>리뷰 정책·금지 행동</x:v>
      </x:c>
      <x:c r="C10" s="11" t="str">
        <x:v>AI Engineer</x:v>
      </x:c>
      <x:c r="D10" s="12" t="n">
        <x:v>46281</x:v>
      </x:c>
      <x:c r="E10" s="12" t="n">
        <x:v>46282</x:v>
      </x:c>
      <x:c r="F10" s="13" t="n">
        <x:v>1</x:v>
      </x:c>
      <x:c r="G10" s="11" t="str">
        <x:v>W01</x:v>
      </x:c>
      <x:c r="H10" s="2" t="n">
        <x:f>IF(J10&lt;&gt;"입력 완료","계산 보류",NETWORKDAYS(D10,E10))</x:f>
        <x:v>2</x:v>
      </x:c>
      <x:c r="I10" s="2" t="str">
        <x:f>IF(J10&lt;&gt;"입력 완료","입력 확인",IF(F10=1,"완료",IF(E10&lt;$B$4,"지연",IF(D10&gt;$B$4,"예정","진행 중"))))</x:f>
        <x:v>완료</x:v>
      </x:c>
      <x:c r="J10" s="2" t="str">
        <x:f>IF(OR(A10="",B10="",C10=""),"필수 입력 누락",IF(COUNTIFS($A$9:$A$22,A10)&lt;&gt;1,"중복 ID",IF(OR(NOT(ISNUMBER(D10)),NOT(ISNUMBER(E10))),"날짜 확인",IF(E10&lt;D10,"종료일 확인",IF(OR(NOT(ISNUMBER(F10)),F10&lt;0,F10&gt;1),"진척률 확인",IF(G10="","입력 완료",IF(OR(G10=A10,COUNTIFS($A$9:$A$22,G10)&lt;&gt;1),"선행 ID 확인",IF(D10&lt;=K10,"선행 일정 충돌","입력 완료"))))))))</x:f>
        <x:v>입력 완료</x:v>
      </x:c>
      <x:c r="K10" s="10" t="n">
        <x:f>IF(G10="","",IF(COUNTIFS($A$9:$A$22,G10)&lt;&gt;1,"선행 ID 확인",VLOOKUP(G10,$A$9:$E$22,5,FALSE)))</x:f>
        <x:v>46280</x:v>
      </x:c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2" t="str"/>
      <x:c r="AA10" s="2" t="str"/>
      <x:c r="AB10" s="2" t="str"/>
      <x:c r="AC10" s="2" t="str"/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/>
      <x:c r="AM10" s="2" t="str"/>
    </x:row>
    <x:row r="11" ht="25" customHeight="1">
      <x:c r="A11" s="11" t="str">
        <x:v>W03</x:v>
      </x:c>
      <x:c r="B11" s="11" t="str">
        <x:v>PR diff 수집</x:v>
      </x:c>
      <x:c r="C11" s="11" t="str">
        <x:v>Backend</x:v>
      </x:c>
      <x:c r="D11" s="12" t="n">
        <x:v>46281</x:v>
      </x:c>
      <x:c r="E11" s="12" t="n">
        <x:v>46283</x:v>
      </x:c>
      <x:c r="F11" s="13" t="n">
        <x:v>1</x:v>
      </x:c>
      <x:c r="G11" s="11" t="str">
        <x:v>W01</x:v>
      </x:c>
      <x:c r="H11" s="2" t="n">
        <x:f>IF(J11&lt;&gt;"입력 완료","계산 보류",NETWORKDAYS(D11,E11))</x:f>
        <x:v>3</x:v>
      </x:c>
      <x:c r="I11" s="2" t="str">
        <x:f>IF(J11&lt;&gt;"입력 완료","입력 확인",IF(F11=1,"완료",IF(E11&lt;$B$4,"지연",IF(D11&gt;$B$4,"예정","진행 중"))))</x:f>
        <x:v>완료</x:v>
      </x:c>
      <x:c r="J11" s="2" t="str">
        <x:f>IF(OR(A11="",B11="",C11=""),"필수 입력 누락",IF(COUNTIFS($A$9:$A$22,A11)&lt;&gt;1,"중복 ID",IF(OR(NOT(ISNUMBER(D11)),NOT(ISNUMBER(E11))),"날짜 확인",IF(E11&lt;D11,"종료일 확인",IF(OR(NOT(ISNUMBER(F11)),F11&lt;0,F11&gt;1),"진척률 확인",IF(G11="","입력 완료",IF(OR(G11=A11,COUNTIFS($A$9:$A$22,G11)&lt;&gt;1),"선행 ID 확인",IF(D11&lt;=K11,"선행 일정 충돌","입력 완료"))))))))</x:f>
        <x:v>입력 완료</x:v>
      </x:c>
      <x:c r="K11" s="10" t="n">
        <x:f>IF(G11="","",IF(COUNTIFS($A$9:$A$22,G11)&lt;&gt;1,"선행 ID 확인",VLOOKUP(G11,$A$9:$E$22,5,FALSE)))</x:f>
        <x:v>46280</x:v>
      </x:c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  <x:c r="T11" s="2" t="str"/>
      <x:c r="U11" s="2" t="str"/>
      <x:c r="V11" s="2" t="str"/>
      <x:c r="W11" s="2" t="str"/>
      <x:c r="X11" s="2" t="str"/>
      <x:c r="Y11" s="2" t="str"/>
      <x:c r="Z11" s="2" t="str"/>
      <x:c r="AA11" s="2" t="str"/>
      <x:c r="AB11" s="2" t="str"/>
      <x:c r="AC11" s="2" t="str"/>
      <x:c r="AD11" s="2" t="str"/>
      <x:c r="AE11" s="2" t="str"/>
      <x:c r="AF11" s="2" t="str"/>
      <x:c r="AG11" s="2" t="str"/>
      <x:c r="AH11" s="2" t="str"/>
      <x:c r="AI11" s="2" t="str"/>
      <x:c r="AJ11" s="2" t="str"/>
      <x:c r="AK11" s="2" t="str"/>
      <x:c r="AL11" s="2" t="str"/>
      <x:c r="AM11" s="2" t="str"/>
    </x:row>
    <x:row r="12" ht="25" customHeight="1">
      <x:c r="A12" s="11" t="str">
        <x:v>W04</x:v>
      </x:c>
      <x:c r="B12" s="11" t="str">
        <x:v>Codex 리뷰 초안</x:v>
      </x:c>
      <x:c r="C12" s="11" t="str">
        <x:v>AI Engineer</x:v>
      </x:c>
      <x:c r="D12" s="12" t="n">
        <x:v>46286</x:v>
      </x:c>
      <x:c r="E12" s="12" t="n">
        <x:v>46288</x:v>
      </x:c>
      <x:c r="F12" s="13" t="n">
        <x:v>0.8</x:v>
      </x:c>
      <x:c r="G12" s="11" t="str">
        <x:v>W03</x:v>
      </x:c>
      <x:c r="H12" s="2" t="n">
        <x:f>IF(J12&lt;&gt;"입력 완료","계산 보류",NETWORKDAYS(D12,E12))</x:f>
        <x:v>3</x:v>
      </x:c>
      <x:c r="I12" s="2" t="str">
        <x:f>IF(J12&lt;&gt;"입력 완료","입력 확인",IF(F12=1,"완료",IF(E12&lt;$B$4,"지연",IF(D12&gt;$B$4,"예정","진행 중"))))</x:f>
        <x:v>지연</x:v>
      </x:c>
      <x:c r="J12" s="2" t="str">
        <x:f>IF(OR(A12="",B12="",C12=""),"필수 입력 누락",IF(COUNTIFS($A$9:$A$22,A12)&lt;&gt;1,"중복 ID",IF(OR(NOT(ISNUMBER(D12)),NOT(ISNUMBER(E12))),"날짜 확인",IF(E12&lt;D12,"종료일 확인",IF(OR(NOT(ISNUMBER(F12)),F12&lt;0,F12&gt;1),"진척률 확인",IF(G12="","입력 완료",IF(OR(G12=A12,COUNTIFS($A$9:$A$22,G12)&lt;&gt;1),"선행 ID 확인",IF(D12&lt;=K12,"선행 일정 충돌","입력 완료"))))))))</x:f>
        <x:v>입력 완료</x:v>
      </x:c>
      <x:c r="K12" s="10" t="n">
        <x:f>IF(G12="","",IF(COUNTIFS($A$9:$A$22,G12)&lt;&gt;1,"선행 ID 확인",VLOOKUP(G12,$A$9:$E$22,5,FALSE)))</x:f>
        <x:v>46283</x:v>
      </x:c>
      <x:c r="L12" s="2" t="str"/>
      <x:c r="M12" s="2" t="str"/>
      <x:c r="N12" s="2" t="str"/>
      <x:c r="O12" s="2" t="str"/>
      <x:c r="P12" s="2" t="str"/>
      <x:c r="Q12" s="2" t="str"/>
      <x:c r="R12" s="2" t="str"/>
      <x:c r="S12" s="2" t="str"/>
      <x:c r="T12" s="2" t="str"/>
      <x:c r="U12" s="2" t="str"/>
      <x:c r="V12" s="2" t="str"/>
      <x:c r="W12" s="2" t="str"/>
      <x:c r="X12" s="2" t="str"/>
      <x:c r="Y12" s="2" t="str"/>
      <x:c r="Z12" s="2" t="str"/>
      <x:c r="AA12" s="2" t="str"/>
      <x:c r="AB12" s="2" t="str"/>
      <x:c r="AC12" s="2" t="str"/>
      <x:c r="AD12" s="2" t="str"/>
      <x:c r="AE12" s="2" t="str"/>
      <x:c r="AF12" s="2" t="str"/>
      <x:c r="AG12" s="2" t="str"/>
      <x:c r="AH12" s="2" t="str"/>
      <x:c r="AI12" s="2" t="str"/>
      <x:c r="AJ12" s="2" t="str"/>
      <x:c r="AK12" s="2" t="str"/>
      <x:c r="AL12" s="2" t="str"/>
      <x:c r="AM12" s="2" t="str"/>
    </x:row>
    <x:row r="13" ht="25" customHeight="1">
      <x:c r="A13" s="11" t="str">
        <x:v>W05</x:v>
      </x:c>
      <x:c r="B13" s="11" t="str">
        <x:v>단위 테스트·실패 사례</x:v>
      </x:c>
      <x:c r="C13" s="11" t="str">
        <x:v>QA</x:v>
      </x:c>
      <x:c r="D13" s="12" t="n">
        <x:v>46286</x:v>
      </x:c>
      <x:c r="E13" s="12" t="n">
        <x:v>46289</x:v>
      </x:c>
      <x:c r="F13" s="13" t="n">
        <x:v>0.6</x:v>
      </x:c>
      <x:c r="G13" s="11" t="str">
        <x:v>W03</x:v>
      </x:c>
      <x:c r="H13" s="2" t="n">
        <x:f>IF(J13&lt;&gt;"입력 완료","계산 보류",NETWORKDAYS(D13,E13))</x:f>
        <x:v>4</x:v>
      </x:c>
      <x:c r="I13" s="2" t="str">
        <x:f>IF(J13&lt;&gt;"입력 완료","입력 확인",IF(F13=1,"완료",IF(E13&lt;$B$4,"지연",IF(D13&gt;$B$4,"예정","진행 중"))))</x:f>
        <x:v>지연</x:v>
      </x:c>
      <x:c r="J13" s="2" t="str">
        <x:f>IF(OR(A13="",B13="",C13=""),"필수 입력 누락",IF(COUNTIFS($A$9:$A$22,A13)&lt;&gt;1,"중복 ID",IF(OR(NOT(ISNUMBER(D13)),NOT(ISNUMBER(E13))),"날짜 확인",IF(E13&lt;D13,"종료일 확인",IF(OR(NOT(ISNUMBER(F13)),F13&lt;0,F13&gt;1),"진척률 확인",IF(G13="","입력 완료",IF(OR(G13=A13,COUNTIFS($A$9:$A$22,G13)&lt;&gt;1),"선행 ID 확인",IF(D13&lt;=K13,"선행 일정 충돌","입력 완료"))))))))</x:f>
        <x:v>입력 완료</x:v>
      </x:c>
      <x:c r="K13" s="10" t="n">
        <x:f>IF(G13="","",IF(COUNTIFS($A$9:$A$22,G13)&lt;&gt;1,"선행 ID 확인",VLOOKUP(G13,$A$9:$E$22,5,FALSE)))</x:f>
        <x:v>46283</x:v>
      </x:c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  <x:c r="T13" s="2" t="str"/>
      <x:c r="U13" s="2" t="str"/>
      <x:c r="V13" s="2" t="str"/>
      <x:c r="W13" s="2" t="str"/>
      <x:c r="X13" s="2" t="str"/>
      <x:c r="Y13" s="2" t="str"/>
      <x:c r="Z13" s="2" t="str"/>
      <x:c r="AA13" s="2" t="str"/>
      <x:c r="AB13" s="2" t="str"/>
      <x:c r="AC13" s="2" t="str"/>
      <x:c r="AD13" s="2" t="str"/>
      <x:c r="AE13" s="2" t="str"/>
      <x:c r="AF13" s="2" t="str"/>
      <x:c r="AG13" s="2" t="str"/>
      <x:c r="AH13" s="2" t="str"/>
      <x:c r="AI13" s="2" t="str"/>
      <x:c r="AJ13" s="2" t="str"/>
      <x:c r="AK13" s="2" t="str"/>
      <x:c r="AL13" s="2" t="str"/>
      <x:c r="AM13" s="2" t="str"/>
    </x:row>
    <x:row r="14" ht="25" customHeight="1">
      <x:c r="A14" s="11" t="str">
        <x:v>W06</x:v>
      </x:c>
      <x:c r="B14" s="11" t="str">
        <x:v>사람 승인·게시 중복 방지</x:v>
      </x:c>
      <x:c r="C14" s="11" t="str">
        <x:v>Backend</x:v>
      </x:c>
      <x:c r="D14" s="12" t="n">
        <x:v>46289</x:v>
      </x:c>
      <x:c r="E14" s="12" t="n">
        <x:v>46293</x:v>
      </x:c>
      <x:c r="F14" s="13" t="n">
        <x:v>0.3</x:v>
      </x:c>
      <x:c r="G14" s="11" t="str">
        <x:v>W04</x:v>
      </x:c>
      <x:c r="H14" s="2" t="n">
        <x:f>IF(J14&lt;&gt;"입력 완료","계산 보류",NETWORKDAYS(D14,E14))</x:f>
        <x:v>3</x:v>
      </x:c>
      <x:c r="I14" s="2" t="str">
        <x:f>IF(J14&lt;&gt;"입력 완료","입력 확인",IF(F14=1,"완료",IF(E14&lt;$B$4,"지연",IF(D14&gt;$B$4,"예정","진행 중"))))</x:f>
        <x:v>진행 중</x:v>
      </x:c>
      <x:c r="J14" s="2" t="str">
        <x:f>IF(OR(A14="",B14="",C14=""),"필수 입력 누락",IF(COUNTIFS($A$9:$A$22,A14)&lt;&gt;1,"중복 ID",IF(OR(NOT(ISNUMBER(D14)),NOT(ISNUMBER(E14))),"날짜 확인",IF(E14&lt;D14,"종료일 확인",IF(OR(NOT(ISNUMBER(F14)),F14&lt;0,F14&gt;1),"진척률 확인",IF(G14="","입력 완료",IF(OR(G14=A14,COUNTIFS($A$9:$A$22,G14)&lt;&gt;1),"선행 ID 확인",IF(D14&lt;=K14,"선행 일정 충돌","입력 완료"))))))))</x:f>
        <x:v>입력 완료</x:v>
      </x:c>
      <x:c r="K14" s="10" t="n">
        <x:f>IF(G14="","",IF(COUNTIFS($A$9:$A$22,G14)&lt;&gt;1,"선행 ID 확인",VLOOKUP(G14,$A$9:$E$22,5,FALSE)))</x:f>
        <x:v>46288</x:v>
      </x:c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/>
      <x:c r="Y14" s="2" t="str"/>
      <x:c r="Z14" s="2" t="str"/>
      <x:c r="AA14" s="2" t="str"/>
      <x:c r="AB14" s="2" t="str"/>
      <x:c r="AC14" s="2" t="str"/>
      <x:c r="AD14" s="2" t="str"/>
      <x:c r="AE14" s="2" t="str"/>
      <x:c r="AF14" s="2" t="str"/>
      <x:c r="AG14" s="2" t="str"/>
      <x:c r="AH14" s="2" t="str"/>
      <x:c r="AI14" s="2" t="str"/>
      <x:c r="AJ14" s="2" t="str"/>
      <x:c r="AK14" s="2" t="str"/>
      <x:c r="AL14" s="2" t="str"/>
      <x:c r="AM14" s="2" t="str"/>
    </x:row>
    <x:row r="15" ht="25" customHeight="1">
      <x:c r="A15" s="11" t="str">
        <x:v>W07</x:v>
      </x:c>
      <x:c r="B15" s="11" t="str">
        <x:v>Word 문서 템플릿</x:v>
      </x:c>
      <x:c r="C15" s="11" t="str">
        <x:v>PM</x:v>
      </x:c>
      <x:c r="D15" s="12" t="n">
        <x:v>46283</x:v>
      </x:c>
      <x:c r="E15" s="12" t="n">
        <x:v>46287</x:v>
      </x:c>
      <x:c r="F15" s="13" t="n">
        <x:v>1</x:v>
      </x:c>
      <x:c r="G15" s="11" t="str">
        <x:v>W02</x:v>
      </x:c>
      <x:c r="H15" s="2" t="n">
        <x:f>IF(J15&lt;&gt;"입력 완료","계산 보류",NETWORKDAYS(D15,E15))</x:f>
        <x:v>3</x:v>
      </x:c>
      <x:c r="I15" s="2" t="str">
        <x:f>IF(J15&lt;&gt;"입력 완료","입력 확인",IF(F15=1,"완료",IF(E15&lt;$B$4,"지연",IF(D15&gt;$B$4,"예정","진행 중"))))</x:f>
        <x:v>완료</x:v>
      </x:c>
      <x:c r="J15" s="2" t="str">
        <x:f>IF(OR(A15="",B15="",C15=""),"필수 입력 누락",IF(COUNTIFS($A$9:$A$22,A15)&lt;&gt;1,"중복 ID",IF(OR(NOT(ISNUMBER(D15)),NOT(ISNUMBER(E15))),"날짜 확인",IF(E15&lt;D15,"종료일 확인",IF(OR(NOT(ISNUMBER(F15)),F15&lt;0,F15&gt;1),"진척률 확인",IF(G15="","입력 완료",IF(OR(G15=A15,COUNTIFS($A$9:$A$22,G15)&lt;&gt;1),"선행 ID 확인",IF(D15&lt;=K15,"선행 일정 충돌","입력 완료"))))))))</x:f>
        <x:v>입력 완료</x:v>
      </x:c>
      <x:c r="K15" s="10" t="n">
        <x:f>IF(G15="","",IF(COUNTIFS($A$9:$A$22,G15)&lt;&gt;1,"선행 ID 확인",VLOOKUP(G15,$A$9:$E$22,5,FALSE)))</x:f>
        <x:v>46282</x:v>
      </x:c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2" t="str"/>
      <x:c r="Y15" s="2" t="str"/>
      <x:c r="Z15" s="2" t="str"/>
      <x:c r="AA15" s="2" t="str"/>
      <x:c r="AB15" s="2" t="str"/>
      <x:c r="AC15" s="2" t="str"/>
      <x:c r="AD15" s="2" t="str"/>
      <x:c r="AE15" s="2" t="str"/>
      <x:c r="AF15" s="2" t="str"/>
      <x:c r="AG15" s="2" t="str"/>
      <x:c r="AH15" s="2" t="str"/>
      <x:c r="AI15" s="2" t="str"/>
      <x:c r="AJ15" s="2" t="str"/>
      <x:c r="AK15" s="2" t="str"/>
      <x:c r="AL15" s="2" t="str"/>
      <x:c r="AM15" s="2" t="str"/>
    </x:row>
    <x:row r="16" ht="25" customHeight="1">
      <x:c r="A16" s="11" t="str">
        <x:v>W08</x:v>
      </x:c>
      <x:c r="B16" s="11" t="str">
        <x:v>WBS·채점 Excel 템플릿</x:v>
      </x:c>
      <x:c r="C16" s="11" t="str">
        <x:v>Data Analyst</x:v>
      </x:c>
      <x:c r="D16" s="12" t="n">
        <x:v>46288</x:v>
      </x:c>
      <x:c r="E16" s="12" t="n">
        <x:v>46290</x:v>
      </x:c>
      <x:c r="F16" s="13" t="n">
        <x:v>0.7</x:v>
      </x:c>
      <x:c r="G16" s="11" t="str">
        <x:v>W07</x:v>
      </x:c>
      <x:c r="H16" s="2" t="n">
        <x:f>IF(J16&lt;&gt;"입력 완료","계산 보류",NETWORKDAYS(D16,E16))</x:f>
        <x:v>3</x:v>
      </x:c>
      <x:c r="I16" s="2" t="str">
        <x:f>IF(J16&lt;&gt;"입력 완료","입력 확인",IF(F16=1,"완료",IF(E16&lt;$B$4,"지연",IF(D16&gt;$B$4,"예정","진행 중"))))</x:f>
        <x:v>진행 중</x:v>
      </x:c>
      <x:c r="J16" s="2" t="str">
        <x:f>IF(OR(A16="",B16="",C16=""),"필수 입력 누락",IF(COUNTIFS($A$9:$A$22,A16)&lt;&gt;1,"중복 ID",IF(OR(NOT(ISNUMBER(D16)),NOT(ISNUMBER(E16))),"날짜 확인",IF(E16&lt;D16,"종료일 확인",IF(OR(NOT(ISNUMBER(F16)),F16&lt;0,F16&gt;1),"진척률 확인",IF(G16="","입력 완료",IF(OR(G16=A16,COUNTIFS($A$9:$A$22,G16)&lt;&gt;1),"선행 ID 확인",IF(D16&lt;=K16,"선행 일정 충돌","입력 완료"))))))))</x:f>
        <x:v>입력 완료</x:v>
      </x:c>
      <x:c r="K16" s="10" t="n">
        <x:f>IF(G16="","",IF(COUNTIFS($A$9:$A$22,G16)&lt;&gt;1,"선행 ID 확인",VLOOKUP(G16,$A$9:$E$22,5,FALSE)))</x:f>
        <x:v>46287</x:v>
      </x:c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  <x:c r="T16" s="2" t="str"/>
      <x:c r="U16" s="2" t="str"/>
      <x:c r="V16" s="2" t="str"/>
      <x:c r="W16" s="2" t="str"/>
      <x:c r="X16" s="2" t="str"/>
      <x:c r="Y16" s="2" t="str"/>
      <x:c r="Z16" s="2" t="str"/>
      <x:c r="AA16" s="2" t="str"/>
      <x:c r="AB16" s="2" t="str"/>
      <x:c r="AC16" s="2" t="str"/>
      <x:c r="AD16" s="2" t="str"/>
      <x:c r="AE16" s="2" t="str"/>
      <x:c r="AF16" s="2" t="str"/>
      <x:c r="AG16" s="2" t="str"/>
      <x:c r="AH16" s="2" t="str"/>
      <x:c r="AI16" s="2" t="str"/>
      <x:c r="AJ16" s="2" t="str"/>
      <x:c r="AK16" s="2" t="str"/>
      <x:c r="AL16" s="2" t="str"/>
      <x:c r="AM16" s="2" t="str"/>
    </x:row>
    <x:row r="17" ht="25" customHeight="1">
      <x:c r="A17" s="11" t="str">
        <x:v>W09</x:v>
      </x:c>
      <x:c r="B17" s="11" t="str">
        <x:v>PPT 보고서 생성</x:v>
      </x:c>
      <x:c r="C17" s="11" t="str">
        <x:v>AI Engineer</x:v>
      </x:c>
      <x:c r="D17" s="12" t="n">
        <x:v>46293</x:v>
      </x:c>
      <x:c r="E17" s="12" t="n">
        <x:v>46295</x:v>
      </x:c>
      <x:c r="F17" s="13" t="n">
        <x:v>0</x:v>
      </x:c>
      <x:c r="G17" s="11" t="str">
        <x:v>W08</x:v>
      </x:c>
      <x:c r="H17" s="2" t="n">
        <x:f>IF(J17&lt;&gt;"입력 완료","계산 보류",NETWORKDAYS(D17,E17))</x:f>
        <x:v>3</x:v>
      </x:c>
      <x:c r="I17" s="2" t="str">
        <x:f>IF(J17&lt;&gt;"입력 완료","입력 확인",IF(F17=1,"완료",IF(E17&lt;$B$4,"지연",IF(D17&gt;$B$4,"예정","진행 중"))))</x:f>
        <x:v>예정</x:v>
      </x:c>
      <x:c r="J17" s="2" t="str">
        <x:f>IF(OR(A17="",B17="",C17=""),"필수 입력 누락",IF(COUNTIFS($A$9:$A$22,A17)&lt;&gt;1,"중복 ID",IF(OR(NOT(ISNUMBER(D17)),NOT(ISNUMBER(E17))),"날짜 확인",IF(E17&lt;D17,"종료일 확인",IF(OR(NOT(ISNUMBER(F17)),F17&lt;0,F17&gt;1),"진척률 확인",IF(G17="","입력 완료",IF(OR(G17=A17,COUNTIFS($A$9:$A$22,G17)&lt;&gt;1),"선행 ID 확인",IF(D17&lt;=K17,"선행 일정 충돌","입력 완료"))))))))</x:f>
        <x:v>입력 완료</x:v>
      </x:c>
      <x:c r="K17" s="10" t="n">
        <x:f>IF(G17="","",IF(COUNTIFS($A$9:$A$22,G17)&lt;&gt;1,"선행 ID 확인",VLOOKUP(G17,$A$9:$E$22,5,FALSE)))</x:f>
        <x:v>46290</x:v>
      </x:c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2" t="str"/>
      <x:c r="Y17" s="2" t="str"/>
      <x:c r="Z17" s="2" t="str"/>
      <x:c r="AA17" s="2" t="str"/>
      <x:c r="AB17" s="2" t="str"/>
      <x:c r="AC17" s="2" t="str"/>
      <x:c r="AD17" s="2" t="str"/>
      <x:c r="AE17" s="2" t="str"/>
      <x:c r="AF17" s="2" t="str"/>
      <x:c r="AG17" s="2" t="str"/>
      <x:c r="AH17" s="2" t="str"/>
      <x:c r="AI17" s="2" t="str"/>
      <x:c r="AJ17" s="2" t="str"/>
      <x:c r="AK17" s="2" t="str"/>
      <x:c r="AL17" s="2" t="str"/>
      <x:c r="AM17" s="2" t="str"/>
    </x:row>
    <x:row r="18" ht="25" customHeight="1">
      <x:c r="A18" s="11" t="str">
        <x:v>W10</x:v>
      </x:c>
      <x:c r="B18" s="11" t="str">
        <x:v>문서 품질 자동 검사</x:v>
      </x:c>
      <x:c r="C18" s="11" t="str">
        <x:v>QA</x:v>
      </x:c>
      <x:c r="D18" s="12" t="n">
        <x:v>46296</x:v>
      </x:c>
      <x:c r="E18" s="12" t="n">
        <x:v>46297</x:v>
      </x:c>
      <x:c r="F18" s="13" t="n">
        <x:v>0</x:v>
      </x:c>
      <x:c r="G18" s="11" t="str">
        <x:v>W09</x:v>
      </x:c>
      <x:c r="H18" s="2" t="n">
        <x:f>IF(J18&lt;&gt;"입력 완료","계산 보류",NETWORKDAYS(D18,E18))</x:f>
        <x:v>2</x:v>
      </x:c>
      <x:c r="I18" s="2" t="str">
        <x:f>IF(J18&lt;&gt;"입력 완료","입력 확인",IF(F18=1,"완료",IF(E18&lt;$B$4,"지연",IF(D18&gt;$B$4,"예정","진행 중"))))</x:f>
        <x:v>예정</x:v>
      </x:c>
      <x:c r="J18" s="2" t="str">
        <x:f>IF(OR(A18="",B18="",C18=""),"필수 입력 누락",IF(COUNTIFS($A$9:$A$22,A18)&lt;&gt;1,"중복 ID",IF(OR(NOT(ISNUMBER(D18)),NOT(ISNUMBER(E18))),"날짜 확인",IF(E18&lt;D18,"종료일 확인",IF(OR(NOT(ISNUMBER(F18)),F18&lt;0,F18&gt;1),"진척률 확인",IF(G18="","입력 완료",IF(OR(G18=A18,COUNTIFS($A$9:$A$22,G18)&lt;&gt;1),"선행 ID 확인",IF(D18&lt;=K18,"선행 일정 충돌","입력 완료"))))))))</x:f>
        <x:v>입력 완료</x:v>
      </x:c>
      <x:c r="K18" s="10" t="n">
        <x:f>IF(G18="","",IF(COUNTIFS($A$9:$A$22,G18)&lt;&gt;1,"선행 ID 확인",VLOOKUP(G18,$A$9:$E$22,5,FALSE)))</x:f>
        <x:v>46295</x:v>
      </x:c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/>
      <x:c r="X18" s="2" t="str"/>
      <x:c r="Y18" s="2" t="str"/>
      <x:c r="Z18" s="2" t="str"/>
      <x:c r="AA18" s="2" t="str"/>
      <x:c r="AB18" s="2" t="str"/>
      <x:c r="AC18" s="2" t="str"/>
      <x:c r="AD18" s="2" t="str"/>
      <x:c r="AE18" s="2" t="str"/>
      <x:c r="AF18" s="2" t="str"/>
      <x:c r="AG18" s="2" t="str"/>
      <x:c r="AH18" s="2" t="str"/>
      <x:c r="AI18" s="2" t="str"/>
      <x:c r="AJ18" s="2" t="str"/>
      <x:c r="AK18" s="2" t="str"/>
      <x:c r="AL18" s="2" t="str"/>
      <x:c r="AM18" s="2" t="str"/>
    </x:row>
    <x:row r="19" ht="25" customHeight="1">
      <x:c r="A19" s="11" t="str">
        <x:v>W11</x:v>
      </x:c>
      <x:c r="B19" s="11" t="str">
        <x:v>로컬 통합 화면</x:v>
      </x:c>
      <x:c r="C19" s="11" t="str">
        <x:v>Frontend</x:v>
      </x:c>
      <x:c r="D19" s="12" t="n">
        <x:v>46294</x:v>
      </x:c>
      <x:c r="E19" s="12" t="n">
        <x:v>46297</x:v>
      </x:c>
      <x:c r="F19" s="13" t="n">
        <x:v>0</x:v>
      </x:c>
      <x:c r="G19" s="11" t="str">
        <x:v>W06</x:v>
      </x:c>
      <x:c r="H19" s="2" t="n">
        <x:f>IF(J19&lt;&gt;"입력 완료","계산 보류",NETWORKDAYS(D19,E19))</x:f>
        <x:v>4</x:v>
      </x:c>
      <x:c r="I19" s="2" t="str">
        <x:f>IF(J19&lt;&gt;"입력 완료","입력 확인",IF(F19=1,"완료",IF(E19&lt;$B$4,"지연",IF(D19&gt;$B$4,"예정","진행 중"))))</x:f>
        <x:v>예정</x:v>
      </x:c>
      <x:c r="J19" s="2" t="str">
        <x:f>IF(OR(A19="",B19="",C19=""),"필수 입력 누락",IF(COUNTIFS($A$9:$A$22,A19)&lt;&gt;1,"중복 ID",IF(OR(NOT(ISNUMBER(D19)),NOT(ISNUMBER(E19))),"날짜 확인",IF(E19&lt;D19,"종료일 확인",IF(OR(NOT(ISNUMBER(F19)),F19&lt;0,F19&gt;1),"진척률 확인",IF(G19="","입력 완료",IF(OR(G19=A19,COUNTIFS($A$9:$A$22,G19)&lt;&gt;1),"선행 ID 확인",IF(D19&lt;=K19,"선행 일정 충돌","입력 완료"))))))))</x:f>
        <x:v>입력 완료</x:v>
      </x:c>
      <x:c r="K19" s="10" t="n">
        <x:f>IF(G19="","",IF(COUNTIFS($A$9:$A$22,G19)&lt;&gt;1,"선행 ID 확인",VLOOKUP(G19,$A$9:$E$22,5,FALSE)))</x:f>
        <x:v>46293</x:v>
      </x:c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2" t="str"/>
      <x:c r="Y19" s="2" t="str"/>
      <x:c r="Z19" s="2" t="str"/>
      <x:c r="AA19" s="2" t="str"/>
      <x:c r="AB19" s="2" t="str"/>
      <x:c r="AC19" s="2" t="str"/>
      <x:c r="AD19" s="2" t="str"/>
      <x:c r="AE19" s="2" t="str"/>
      <x:c r="AF19" s="2" t="str"/>
      <x:c r="AG19" s="2" t="str"/>
      <x:c r="AH19" s="2" t="str"/>
      <x:c r="AI19" s="2" t="str"/>
      <x:c r="AJ19" s="2" t="str"/>
      <x:c r="AK19" s="2" t="str"/>
      <x:c r="AL19" s="2" t="str"/>
      <x:c r="AM19" s="2" t="str"/>
    </x:row>
    <x:row r="20" ht="25" customHeight="1">
      <x:c r="A20" s="11" t="str">
        <x:v>W12</x:v>
      </x:c>
      <x:c r="B20" s="11" t="str">
        <x:v>개인정보·권한 검토</x:v>
      </x:c>
      <x:c r="C20" s="11" t="str">
        <x:v>Security</x:v>
      </x:c>
      <x:c r="D20" s="12" t="n">
        <x:v>46300</x:v>
      </x:c>
      <x:c r="E20" s="12" t="n">
        <x:v>46301</x:v>
      </x:c>
      <x:c r="F20" s="13" t="n">
        <x:v>0</x:v>
      </x:c>
      <x:c r="G20" s="11" t="str">
        <x:v>W11</x:v>
      </x:c>
      <x:c r="H20" s="2" t="n">
        <x:f>IF(J20&lt;&gt;"입력 완료","계산 보류",NETWORKDAYS(D20,E20))</x:f>
        <x:v>2</x:v>
      </x:c>
      <x:c r="I20" s="2" t="str">
        <x:f>IF(J20&lt;&gt;"입력 완료","입력 확인",IF(F20=1,"완료",IF(E20&lt;$B$4,"지연",IF(D20&gt;$B$4,"예정","진행 중"))))</x:f>
        <x:v>예정</x:v>
      </x:c>
      <x:c r="J20" s="2" t="str">
        <x:f>IF(OR(A20="",B20="",C20=""),"필수 입력 누락",IF(COUNTIFS($A$9:$A$22,A20)&lt;&gt;1,"중복 ID",IF(OR(NOT(ISNUMBER(D20)),NOT(ISNUMBER(E20))),"날짜 확인",IF(E20&lt;D20,"종료일 확인",IF(OR(NOT(ISNUMBER(F20)),F20&lt;0,F20&gt;1),"진척률 확인",IF(G20="","입력 완료",IF(OR(G20=A20,COUNTIFS($A$9:$A$22,G20)&lt;&gt;1),"선행 ID 확인",IF(D20&lt;=K20,"선행 일정 충돌","입력 완료"))))))))</x:f>
        <x:v>입력 완료</x:v>
      </x:c>
      <x:c r="K20" s="10" t="n">
        <x:f>IF(G20="","",IF(COUNTIFS($A$9:$A$22,G20)&lt;&gt;1,"선행 ID 확인",VLOOKUP(G20,$A$9:$E$22,5,FALSE)))</x:f>
        <x:v>46297</x:v>
      </x:c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2" t="str"/>
      <x:c r="Y20" s="2" t="str"/>
      <x:c r="Z20" s="2" t="str"/>
      <x:c r="AA20" s="2" t="str"/>
      <x:c r="AB20" s="2" t="str"/>
      <x:c r="AC20" s="2" t="str"/>
      <x:c r="AD20" s="2" t="str"/>
      <x:c r="AE20" s="2" t="str"/>
      <x:c r="AF20" s="2" t="str"/>
      <x:c r="AG20" s="2" t="str"/>
      <x:c r="AH20" s="2" t="str"/>
      <x:c r="AI20" s="2" t="str"/>
      <x:c r="AJ20" s="2" t="str"/>
      <x:c r="AK20" s="2" t="str"/>
      <x:c r="AL20" s="2" t="str"/>
      <x:c r="AM20" s="2" t="str"/>
    </x:row>
    <x:row r="21" ht="25" customHeight="1">
      <x:c r="A21" s="11" t="str">
        <x:v>W13</x:v>
      </x:c>
      <x:c r="B21" s="11" t="str">
        <x:v>사용자 테스트·수정</x:v>
      </x:c>
      <x:c r="C21" s="11" t="str">
        <x:v>QA</x:v>
      </x:c>
      <x:c r="D21" s="12" t="n">
        <x:v>46302</x:v>
      </x:c>
      <x:c r="E21" s="12" t="n">
        <x:v>46303</x:v>
      </x:c>
      <x:c r="F21" s="13" t="n">
        <x:v>0</x:v>
      </x:c>
      <x:c r="G21" s="11" t="str">
        <x:v>W12</x:v>
      </x:c>
      <x:c r="H21" s="2" t="n">
        <x:f>IF(J21&lt;&gt;"입력 완료","계산 보류",NETWORKDAYS(D21,E21))</x:f>
        <x:v>2</x:v>
      </x:c>
      <x:c r="I21" s="2" t="str">
        <x:f>IF(J21&lt;&gt;"입력 완료","입력 확인",IF(F21=1,"완료",IF(E21&lt;$B$4,"지연",IF(D21&gt;$B$4,"예정","진행 중"))))</x:f>
        <x:v>예정</x:v>
      </x:c>
      <x:c r="J21" s="2" t="str">
        <x:f>IF(OR(A21="",B21="",C21=""),"필수 입력 누락",IF(COUNTIFS($A$9:$A$22,A21)&lt;&gt;1,"중복 ID",IF(OR(NOT(ISNUMBER(D21)),NOT(ISNUMBER(E21))),"날짜 확인",IF(E21&lt;D21,"종료일 확인",IF(OR(NOT(ISNUMBER(F21)),F21&lt;0,F21&gt;1),"진척률 확인",IF(G21="","입력 완료",IF(OR(G21=A21,COUNTIFS($A$9:$A$22,G21)&lt;&gt;1),"선행 ID 확인",IF(D21&lt;=K21,"선행 일정 충돌","입력 완료"))))))))</x:f>
        <x:v>입력 완료</x:v>
      </x:c>
      <x:c r="K21" s="10" t="n">
        <x:f>IF(G21="","",IF(COUNTIFS($A$9:$A$22,G21)&lt;&gt;1,"선행 ID 확인",VLOOKUP(G21,$A$9:$E$22,5,FALSE)))</x:f>
        <x:v>46301</x:v>
      </x:c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  <x:c r="T21" s="2" t="str"/>
      <x:c r="U21" s="2" t="str"/>
      <x:c r="V21" s="2" t="str"/>
      <x:c r="W21" s="2" t="str"/>
      <x:c r="X21" s="2" t="str"/>
      <x:c r="Y21" s="2" t="str"/>
      <x:c r="Z21" s="2" t="str"/>
      <x:c r="AA21" s="2" t="str"/>
      <x:c r="AB21" s="2" t="str"/>
      <x:c r="AC21" s="2" t="str"/>
      <x:c r="AD21" s="2" t="str"/>
      <x:c r="AE21" s="2" t="str"/>
      <x:c r="AF21" s="2" t="str"/>
      <x:c r="AG21" s="2" t="str"/>
      <x:c r="AH21" s="2" t="str"/>
      <x:c r="AI21" s="2" t="str"/>
      <x:c r="AJ21" s="2" t="str"/>
      <x:c r="AK21" s="2" t="str"/>
      <x:c r="AL21" s="2" t="str"/>
      <x:c r="AM21" s="2" t="str"/>
    </x:row>
    <x:row r="22" ht="25" customHeight="1">
      <x:c r="A22" s="11" t="str">
        <x:v>W14</x:v>
      </x:c>
      <x:c r="B22" s="11" t="str">
        <x:v>사용 안내·릴리스</x:v>
      </x:c>
      <x:c r="C22" s="11" t="str">
        <x:v>PM</x:v>
      </x:c>
      <x:c r="D22" s="12" t="n">
        <x:v>46304</x:v>
      </x:c>
      <x:c r="E22" s="12" t="n">
        <x:v>46304</x:v>
      </x:c>
      <x:c r="F22" s="13" t="n">
        <x:v>0</x:v>
      </x:c>
      <x:c r="G22" s="11" t="str">
        <x:v>W13</x:v>
      </x:c>
      <x:c r="H22" s="2" t="n">
        <x:f>IF(J22&lt;&gt;"입력 완료","계산 보류",NETWORKDAYS(D22,E22))</x:f>
        <x:v>1</x:v>
      </x:c>
      <x:c r="I22" s="2" t="str">
        <x:f>IF(J22&lt;&gt;"입력 완료","입력 확인",IF(F22=1,"완료",IF(E22&lt;$B$4,"지연",IF(D22&gt;$B$4,"예정","진행 중"))))</x:f>
        <x:v>예정</x:v>
      </x:c>
      <x:c r="J22" s="2" t="str">
        <x:f>IF(OR(A22="",B22="",C22=""),"필수 입력 누락",IF(COUNTIFS($A$9:$A$22,A22)&lt;&gt;1,"중복 ID",IF(OR(NOT(ISNUMBER(D22)),NOT(ISNUMBER(E22))),"날짜 확인",IF(E22&lt;D22,"종료일 확인",IF(OR(NOT(ISNUMBER(F22)),F22&lt;0,F22&gt;1),"진척률 확인",IF(G22="","입력 완료",IF(OR(G22=A22,COUNTIFS($A$9:$A$22,G22)&lt;&gt;1),"선행 ID 확인",IF(D22&lt;=K22,"선행 일정 충돌","입력 완료"))))))))</x:f>
        <x:v>입력 완료</x:v>
      </x:c>
      <x:c r="K22" s="10" t="n">
        <x:f>IF(G22="","",IF(COUNTIFS($A$9:$A$22,G22)&lt;&gt;1,"선행 ID 확인",VLOOKUP(G22,$A$9:$E$22,5,FALSE)))</x:f>
        <x:v>46303</x:v>
      </x:c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  <x:c r="T22" s="2" t="str"/>
      <x:c r="U22" s="2" t="str"/>
      <x:c r="V22" s="2" t="str"/>
      <x:c r="W22" s="2" t="str"/>
      <x:c r="X22" s="2" t="str"/>
      <x:c r="Y22" s="2" t="str"/>
      <x:c r="Z22" s="2" t="str"/>
      <x:c r="AA22" s="2" t="str"/>
      <x:c r="AB22" s="2" t="str"/>
      <x:c r="AC22" s="2" t="str"/>
      <x:c r="AD22" s="2" t="str"/>
      <x:c r="AE22" s="2" t="str"/>
      <x:c r="AF22" s="2" t="str"/>
      <x:c r="AG22" s="2" t="str"/>
      <x:c r="AH22" s="2" t="str"/>
      <x:c r="AI22" s="2" t="str"/>
      <x:c r="AJ22" s="2" t="str"/>
      <x:c r="AK22" s="2" t="str"/>
      <x:c r="AL22" s="2" t="str"/>
      <x:c r="AM22" s="2" t="str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</x:row>
    <x:row r="25" ht="25" customHeight="1">
      <x:c r="A25" s="2" t="str">
        <x:v>실습: W04 진척률을 100%로 변경 → 지연 1건 감소. B4를 10/01로 변경 → 상태·간트 재계산.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</x:row>
    <x:row r="27" ht="25" customHeight="1">
      <x:c r="A27" s="2" t="str">
        <x:v>데이터: 강의용 합성 프로젝트. 대한민국 공휴일을 반영하려면 휴일 범위와 NETWORKDAYS의 세 번째 인수를 추가하세요.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</x:row>
  </x:sheetData>
  <x:conditionalFormatting sqref="L9:AM22">
    <x:cfRule type="expression" dxfId="0" priority="1">
      <x:formula>AND($J9="입력 완료",L$8&gt;=$D9,L$8&lt;=$E9,WEEKDAY(L$8,2)&lt;6,$F9=1)</x:formula>
    </x:cfRule>
    <x:cfRule type="expression" dxfId="1" priority="2">
      <x:formula>AND($J9="입력 완료",L$8&gt;=$D9,L$8&lt;=$E9,WEEKDAY(L$8,2)&lt;6,$F9&lt;1,$E9&lt;$B$4)</x:formula>
    </x:cfRule>
    <x:cfRule type="expression" dxfId="2" priority="3">
      <x:formula>AND($J9="입력 완료",L$8&gt;=$D9,L$8&lt;=$E9,WEEKDAY(L$8,2)&lt;6,$F9&lt;1,$E9&gt;=$B$4)</x:formula>
    </x:cfRule>
  </x:conditionalFormatting>
  <x:conditionalFormatting sqref="I9:J22">
    <x:cfRule type="expression" dxfId="3" priority="4">
      <x:formula>$J9&lt;&gt;"입력 완료"</x:formula>
    </x:cfRule>
  </x:conditionalFormatting>
  <x:conditionalFormatting sqref="I9:I22">
    <x:cfRule type="expression" dxfId="4" priority="5">
      <x:formula>$I9="지연"</x:formula>
    </x:cfRule>
  </x:conditionalFormatting>
  <x:dataValidations count="1">
    <x:dataValidation type="decimal" operator="between" sqref="F9:F22">
      <x:formula1>0</x:formula1>
      <x:formula2>1</x:formula2>
    </x:dataValidation>
  </x:dataValidations>
  <x:pageMargins left="0.7" right="0.7" top="0.75" bottom="0.75" header="0.3" footer="0.3"/>
</x:worksheet>
</file>