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24b94577ac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채점" sheetId="1" r:id="R5082a2dc82884295"/>
    <x:sheet xmlns:r="http://schemas.openxmlformats.org/officeDocument/2006/relationships" name="채점내역" sheetId="2" r:id="Rdc9b27f5922f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%"/>
  </x:numFmts>
  <x:fonts count="4">
    <x:font>
      <x:sz val="11"/>
      <x:name val="Carlito"/>
    </x:font>
    <x:font>
      <x:sz val="11"/>
      <x:color rgb="FF171717"/>
      <x:name val="Arial"/>
    </x:font>
    <x:font>
      <x:b/>
      <x:sz val="17"/>
      <x:color rgb="FF17171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DE7F4"/>
      </x:patternFill>
    </x:fill>
    <x:fill>
      <x:patternFill patternType="solid">
        <x:fgColor rgb="FF23344F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171717"/>
      </x:font>
      <x:fill>
        <x:patternFill patternType="solid">
          <x:bgColor rgb="FFDDE7F4"/>
        </x:patternFill>
      </x:fill>
    </x:dxf>
    <x:dxf>
      <x:font>
        <x:color rgb="FF171717"/>
      </x:font>
      <x:fill>
        <x:patternFill patternType="solid">
          <x:bgColor rgb="FFF1F2F4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  <x:dxf>
      <x:font>
        <x:color rgb="FF171717"/>
      </x:font>
      <x:fill>
        <x:patternFill patternType="solid">
          <x:bgColor rgb="FFDDE7F4"/>
        </x:patternFill>
      </x:fill>
    </x:dxf>
    <x:dxf>
      <x:font>
        <x:color rgb="FF9C2424"/>
      </x:font>
      <x:fill>
        <x:patternFill patternType="solid">
          <x:bgColor rgb="FFF9DA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c938709fe24329" /><Relationship Type="http://schemas.openxmlformats.org/officeDocument/2006/relationships/theme" Target="/xl/theme/theme1.xml" Id="R019ce264a0f64db7" /><Relationship Type="http://schemas.openxmlformats.org/officeDocument/2006/relationships/sharedStrings" Target="/xl/sharedStrings.xml" Id="R019e1137771c4125" /><Relationship Type="http://schemas.openxmlformats.org/officeDocument/2006/relationships/worksheet" Target="/xl/worksheets/sheet1.xml" Id="R5082a2dc82884295" /><Relationship Type="http://schemas.openxmlformats.org/officeDocument/2006/relationships/worksheet" Target="/xl/worksheets/sheet2.xml" Id="Rdc9b27f5922f41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44F"/>
  </x:sheetPr>
  <x:sheetViews>
    <x:sheetView showGridLines="0" workbookViewId="0">
      <x:pane xSplit="3" ySplit="9" topLeftCell="D10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  <x:col min="30" max="30" width="5.5" hidden="0" customWidth="1"/>
    <x:col min="31" max="31" width="5.5" hidden="0" customWidth="1"/>
    <x:col min="32" max="32" width="5.5" hidden="0" customWidth="1"/>
    <x:col min="33" max="33" width="5.5" hidden="0" customWidth="1"/>
    <x:col min="34" max="34" width="5.5" hidden="0" customWidth="1"/>
    <x:col min="35" max="35" width="5.5" hidden="0" customWidth="1"/>
    <x:col min="36" max="36" width="5.5" hidden="0" customWidth="1"/>
    <x:col min="37" max="37" width="5.5" hidden="0" customWidth="1"/>
    <x:col min="38" max="38" width="5.5" hidden="0" customWidth="1"/>
    <x:col min="39" max="39" width="5.5" hidden="0" customWidth="1"/>
    <x:col min="40" max="40" width="5.5" hidden="0" customWidth="1"/>
    <x:col min="41" max="41" width="5.5" hidden="0" customWidth="1"/>
    <x:col min="42" max="42" width="5.5" hidden="0" customWidth="1"/>
    <x:col min="43" max="43" width="5.5" hidden="0" customWidth="1"/>
    <x:col min="44" max="44" width="12" hidden="0" customWidth="1"/>
    <x:col min="45" max="45" width="12" hidden="0" customWidth="1"/>
    <x:col min="46" max="46" width="19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</x:row>
    <x:row r="2" ht="32" customHeight="1">
      <x:c r="A2" s="3" t="str">
        <x:v>중간고사 자동 채점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</x:row>
    <x:row r="3" ht="25" customHeight="1">
      <x:c r="A3" s="2" t="str">
        <x:v>합성 데이터 28명 · 40문항 · 문항별 1점 · 원본 성적 및 개인정보 미포함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</x:row>
    <x:row r="4" ht="25" customHeight="1">
      <x:c r="A4" s="2" t="str">
        <x:v>응시 인원</x:v>
      </x:c>
      <x:c r="B4" s="2" t="str">
        <x:v>채점 가능</x:v>
      </x:c>
      <x:c r="C4" s="2" t="str">
        <x:v>평균 점수</x:v>
      </x:c>
      <x:c r="D4" s="2"/>
      <x:c r="E4" s="2" t="str">
        <x:v>입력 오류</x:v>
      </x:c>
      <x:c r="F4" s="2"/>
      <x:c r="G4" s="2"/>
      <x:c r="H4" s="2" t="str">
        <x:v>결시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</x:row>
    <x:row r="5" ht="25" customHeight="1">
      <x:c r="A5" s="2" t="n">
        <x:f>COUNTIFS(C10:C37,"응시")</x:f>
        <x:v>27</x:v>
      </x:c>
      <x:c r="B5" s="2" t="n">
        <x:f>COUNT(AR10:AR37)</x:f>
        <x:v>26</x:v>
      </x:c>
      <x:c r="C5" s="4" t="n">
        <x:f>IF(COUNT(AR10:AR37)=0,"채점 보류",AVERAGE(AR10:AR37))</x:f>
        <x:v>25.5</x:v>
      </x:c>
      <x:c r="D5" s="2"/>
      <x:c r="E5" s="2" t="n">
        <x:f>COUNTIFS(AT10:AT37,"입력 오류")</x:f>
        <x:v>1</x:v>
      </x:c>
      <x:c r="F5" s="2"/>
      <x:c r="G5" s="2"/>
      <x:c r="H5" s="2" t="n">
        <x:f>COUNTIFS(C10:C37,"결시")</x:f>
        <x:v>1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</x:row>
    <x:row r="6" ht="25" customHeight="1">
      <x:c r="A6" s="2" t="str">
        <x:v>정답 등록</x:v>
      </x:c>
      <x:c r="B6" s="2" t="n">
        <x:f>COUNTIFS(D45:AQ45,"등록")</x:f>
        <x:v>40</x:v>
      </x:c>
      <x:c r="C6" s="2"/>
      <x:c r="D6" s="2" t="str">
        <x:v>정답=연한 네이비 · 오답=회색 · 미응답/잘못된 입력=연한 빨강. 오류는 0점이 아닌 채점 보류.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</x:row>
    <x:row r="7" ht="25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</x:row>
    <x:row r="8" ht="25" customHeight="1">
      <x:c r="A8" s="2" t="str">
        <x:v>정답</x:v>
      </x:c>
      <x:c r="B8" s="2"/>
      <x:c r="C8" s="2"/>
      <x:c r="D8" s="5" t="n">
        <x:v>1</x:v>
      </x:c>
      <x:c r="E8" s="5" t="n">
        <x:v>2</x:v>
      </x:c>
      <x:c r="F8" s="5" t="n">
        <x:v>3</x:v>
      </x:c>
      <x:c r="G8" s="5" t="n">
        <x:v>4</x:v>
      </x:c>
      <x:c r="H8" s="5" t="n">
        <x:v>1</x:v>
      </x:c>
      <x:c r="I8" s="5" t="n">
        <x:v>2</x:v>
      </x:c>
      <x:c r="J8" s="5" t="n">
        <x:v>3</x:v>
      </x:c>
      <x:c r="K8" s="5" t="n">
        <x:v>4</x:v>
      </x:c>
      <x:c r="L8" s="5" t="n">
        <x:v>1</x:v>
      </x:c>
      <x:c r="M8" s="5" t="n">
        <x:v>2</x:v>
      </x:c>
      <x:c r="N8" s="5" t="n">
        <x:v>3</x:v>
      </x:c>
      <x:c r="O8" s="5" t="n">
        <x:v>4</x:v>
      </x:c>
      <x:c r="P8" s="5" t="n">
        <x:v>1</x:v>
      </x:c>
      <x:c r="Q8" s="5" t="n">
        <x:v>2</x:v>
      </x:c>
      <x:c r="R8" s="5" t="n">
        <x:v>3</x:v>
      </x:c>
      <x:c r="S8" s="5" t="n">
        <x:v>4</x:v>
      </x:c>
      <x:c r="T8" s="5" t="n">
        <x:v>1</x:v>
      </x:c>
      <x:c r="U8" s="5" t="n">
        <x:v>2</x:v>
      </x:c>
      <x:c r="V8" s="5" t="n">
        <x:v>3</x:v>
      </x:c>
      <x:c r="W8" s="5" t="n">
        <x:v>4</x:v>
      </x:c>
      <x:c r="X8" s="5" t="n">
        <x:v>1</x:v>
      </x:c>
      <x:c r="Y8" s="5" t="n">
        <x:v>2</x:v>
      </x:c>
      <x:c r="Z8" s="5" t="n">
        <x:v>3</x:v>
      </x:c>
      <x:c r="AA8" s="5" t="n">
        <x:v>4</x:v>
      </x:c>
      <x:c r="AB8" s="5" t="n">
        <x:v>1</x:v>
      </x:c>
      <x:c r="AC8" s="5" t="n">
        <x:v>2</x:v>
      </x:c>
      <x:c r="AD8" s="5" t="n">
        <x:v>3</x:v>
      </x:c>
      <x:c r="AE8" s="5" t="n">
        <x:v>4</x:v>
      </x:c>
      <x:c r="AF8" s="5" t="n">
        <x:v>1</x:v>
      </x:c>
      <x:c r="AG8" s="5" t="n">
        <x:v>2</x:v>
      </x:c>
      <x:c r="AH8" s="5" t="n">
        <x:v>3</x:v>
      </x:c>
      <x:c r="AI8" s="5" t="n">
        <x:v>4</x:v>
      </x:c>
      <x:c r="AJ8" s="5" t="n">
        <x:v>1</x:v>
      </x:c>
      <x:c r="AK8" s="5" t="n">
        <x:v>2</x:v>
      </x:c>
      <x:c r="AL8" s="5" t="n">
        <x:v>3</x:v>
      </x:c>
      <x:c r="AM8" s="5" t="n">
        <x:v>4</x:v>
      </x:c>
      <x:c r="AN8" s="5" t="n">
        <x:v>1</x:v>
      </x:c>
      <x:c r="AO8" s="5" t="n">
        <x:v>2</x:v>
      </x:c>
      <x:c r="AP8" s="5" t="n">
        <x:v>3</x:v>
      </x:c>
      <x:c r="AQ8" s="5" t="n">
        <x:v>4</x:v>
      </x:c>
      <x:c r="AR8" s="2"/>
      <x:c r="AS8" s="2"/>
      <x:c r="AT8" s="2"/>
      <x:c r="AU8" s="2"/>
      <x:c r="AV8" s="2"/>
      <x:c r="AW8" s="2"/>
      <x:c r="AX8" s="2"/>
    </x:row>
    <x:row r="9" ht="30" customHeight="1">
      <x:c r="A9" s="8" t="str">
        <x:v>학습자 ID</x:v>
      </x:c>
      <x:c r="B9" s="8" t="str">
        <x:v>비고</x:v>
      </x:c>
      <x:c r="C9" s="8" t="str">
        <x:v>응시 상태</x:v>
      </x:c>
      <x:c r="D9" s="8" t="str">
        <x:v>1</x:v>
      </x:c>
      <x:c r="E9" s="8" t="str">
        <x:v>2</x:v>
      </x:c>
      <x:c r="F9" s="8" t="str">
        <x:v>3</x:v>
      </x:c>
      <x:c r="G9" s="8" t="str">
        <x:v>4</x:v>
      </x:c>
      <x:c r="H9" s="8" t="str">
        <x:v>5</x:v>
      </x:c>
      <x:c r="I9" s="8" t="str">
        <x:v>6</x:v>
      </x:c>
      <x:c r="J9" s="8" t="str">
        <x:v>7</x:v>
      </x:c>
      <x:c r="K9" s="8" t="str">
        <x:v>8</x:v>
      </x:c>
      <x:c r="L9" s="8" t="str">
        <x:v>9</x:v>
      </x:c>
      <x:c r="M9" s="8" t="str">
        <x:v>10</x:v>
      </x:c>
      <x:c r="N9" s="8" t="str">
        <x:v>11</x:v>
      </x:c>
      <x:c r="O9" s="8" t="str">
        <x:v>12</x:v>
      </x:c>
      <x:c r="P9" s="8" t="str">
        <x:v>13</x:v>
      </x:c>
      <x:c r="Q9" s="8" t="str">
        <x:v>14</x:v>
      </x:c>
      <x:c r="R9" s="8" t="str">
        <x:v>15</x:v>
      </x:c>
      <x:c r="S9" s="8" t="str">
        <x:v>16</x:v>
      </x:c>
      <x:c r="T9" s="8" t="str">
        <x:v>17</x:v>
      </x:c>
      <x:c r="U9" s="8" t="str">
        <x:v>18</x:v>
      </x:c>
      <x:c r="V9" s="8" t="str">
        <x:v>19</x:v>
      </x:c>
      <x:c r="W9" s="8" t="str">
        <x:v>20</x:v>
      </x:c>
      <x:c r="X9" s="8" t="str">
        <x:v>21</x:v>
      </x:c>
      <x:c r="Y9" s="8" t="str">
        <x:v>22</x:v>
      </x:c>
      <x:c r="Z9" s="8" t="str">
        <x:v>23</x:v>
      </x:c>
      <x:c r="AA9" s="8" t="str">
        <x:v>24</x:v>
      </x:c>
      <x:c r="AB9" s="8" t="str">
        <x:v>25</x:v>
      </x:c>
      <x:c r="AC9" s="8" t="str">
        <x:v>26</x:v>
      </x:c>
      <x:c r="AD9" s="8" t="str">
        <x:v>27</x:v>
      </x:c>
      <x:c r="AE9" s="8" t="str">
        <x:v>28</x:v>
      </x:c>
      <x:c r="AF9" s="8" t="str">
        <x:v>29</x:v>
      </x:c>
      <x:c r="AG9" s="8" t="str">
        <x:v>30</x:v>
      </x:c>
      <x:c r="AH9" s="8" t="str">
        <x:v>31</x:v>
      </x:c>
      <x:c r="AI9" s="8" t="str">
        <x:v>32</x:v>
      </x:c>
      <x:c r="AJ9" s="8" t="str">
        <x:v>33</x:v>
      </x:c>
      <x:c r="AK9" s="8" t="str">
        <x:v>34</x:v>
      </x:c>
      <x:c r="AL9" s="8" t="str">
        <x:v>35</x:v>
      </x:c>
      <x:c r="AM9" s="8" t="str">
        <x:v>36</x:v>
      </x:c>
      <x:c r="AN9" s="8" t="str">
        <x:v>37</x:v>
      </x:c>
      <x:c r="AO9" s="8" t="str">
        <x:v>38</x:v>
      </x:c>
      <x:c r="AP9" s="8" t="str">
        <x:v>39</x:v>
      </x:c>
      <x:c r="AQ9" s="8" t="str">
        <x:v>40</x:v>
      </x:c>
      <x:c r="AR9" s="8" t="str">
        <x:v>총점 /40</x:v>
      </x:c>
      <x:c r="AS9" s="8" t="str">
        <x:v>등수</x:v>
      </x:c>
      <x:c r="AT9" s="8" t="str">
        <x:v>처리 상태</x:v>
      </x:c>
      <x:c r="AU9" s="8" t="str">
        <x:v>미응답</x:v>
      </x:c>
      <x:c r="AV9" s="8" t="str">
        <x:v>입력 오류</x:v>
      </x:c>
      <x:c r="AW9" s="8" t="str">
        <x:v>오답</x:v>
      </x:c>
      <x:c r="AX9" s="8" t="str">
        <x:v>정답</x:v>
      </x:c>
    </x:row>
    <x:row r="10" ht="25" customHeight="1">
      <x:c r="A10" s="2" t="str">
        <x:v>S001</x:v>
      </x:c>
      <x:c r="B10" s="2" t="str"/>
      <x:c r="C10" s="2" t="str">
        <x:v>응시</x:v>
      </x:c>
      <x:c r="D10" s="2" t="n">
        <x:v>1</x:v>
      </x:c>
      <x:c r="E10" s="2" t="n">
        <x:v>3</x:v>
      </x:c>
      <x:c r="F10" s="2" t="n">
        <x:v>3</x:v>
      </x:c>
      <x:c r="G10" s="2" t="n">
        <x:v>4</x:v>
      </x:c>
      <x:c r="H10" s="2" t="n">
        <x:v>2</x:v>
      </x:c>
      <x:c r="I10" s="2" t="n">
        <x:v>3</x:v>
      </x:c>
      <x:c r="J10" s="2" t="n">
        <x:v>3</x:v>
      </x:c>
      <x:c r="K10" s="2" t="n">
        <x:v>1</x:v>
      </x:c>
      <x:c r="L10" s="2" t="n">
        <x:v>2</x:v>
      </x:c>
      <x:c r="M10" s="2" t="n">
        <x:v>2</x:v>
      </x:c>
      <x:c r="N10" s="2" t="n">
        <x:v>3</x:v>
      </x:c>
      <x:c r="O10" s="2" t="n">
        <x:v>1</x:v>
      </x:c>
      <x:c r="P10" s="2" t="n">
        <x:v>1</x:v>
      </x:c>
      <x:c r="Q10" s="2" t="n">
        <x:v>2</x:v>
      </x:c>
      <x:c r="R10" s="2" t="n">
        <x:v>4</x:v>
      </x:c>
      <x:c r="S10" s="2" t="n">
        <x:v>1</x:v>
      </x:c>
      <x:c r="T10" s="2" t="n">
        <x:v>1</x:v>
      </x:c>
      <x:c r="U10" s="2" t="n">
        <x:v>3</x:v>
      </x:c>
      <x:c r="V10" s="2" t="n">
        <x:v>4</x:v>
      </x:c>
      <x:c r="W10" s="2" t="n">
        <x:v>4</x:v>
      </x:c>
      <x:c r="X10" s="2" t="n">
        <x:v>1</x:v>
      </x:c>
      <x:c r="Y10" s="2" t="n">
        <x:v>3</x:v>
      </x:c>
      <x:c r="Z10" s="2" t="n">
        <x:v>3</x:v>
      </x:c>
      <x:c r="AA10" s="2" t="n">
        <x:v>4</x:v>
      </x:c>
      <x:c r="AB10" s="2" t="n">
        <x:v>2</x:v>
      </x:c>
      <x:c r="AC10" s="2" t="n">
        <x:v>3</x:v>
      </x:c>
      <x:c r="AD10" s="2" t="n">
        <x:v>3</x:v>
      </x:c>
      <x:c r="AE10" s="2" t="n">
        <x:v>1</x:v>
      </x:c>
      <x:c r="AF10" s="2" t="n">
        <x:v>2</x:v>
      </x:c>
      <x:c r="AG10" s="2" t="n">
        <x:v>2</x:v>
      </x:c>
      <x:c r="AH10" s="2" t="n">
        <x:v>3</x:v>
      </x:c>
      <x:c r="AI10" s="2" t="n">
        <x:v>1</x:v>
      </x:c>
      <x:c r="AJ10" s="2" t="n">
        <x:v>1</x:v>
      </x:c>
      <x:c r="AK10" s="2" t="n">
        <x:v>2</x:v>
      </x:c>
      <x:c r="AL10" s="2" t="n">
        <x:v>4</x:v>
      </x:c>
      <x:c r="AM10" s="2" t="n">
        <x:v>1</x:v>
      </x:c>
      <x:c r="AN10" s="2" t="n">
        <x:v>1</x:v>
      </x:c>
      <x:c r="AO10" s="2" t="n">
        <x:v>3</x:v>
      </x:c>
      <x:c r="AP10" s="2" t="n">
        <x:v>4</x:v>
      </x:c>
      <x:c r="AQ10" s="2" t="n">
        <x:v>4</x:v>
      </x:c>
      <x:c r="AR10" s="2" t="n">
        <x:f>IF(OR(AT10="채점 완료",AT10="미응답 포함"),AX10,"채점 보류")</x:f>
        <x:v>20</x:v>
      </x:c>
      <x:c r="AS10" s="2" t="n">
        <x:f>IF(ISNUMBER(AR10),1+COUNTIFS($AR$10:$AR$37,"&gt;"&amp;AR10),"순위 제외")</x:f>
        <x:v>19</x:v>
      </x:c>
      <x:c r="AT10" s="2" t="str">
        <x:f>IF(OR(A10="",COUNTIFS($A$10:$A$37,A10)&lt;&gt;1),"ID 확인",IF(C10="결시","결시",IF(C10&lt;&gt;"응시","응시 상태 확인",IF(COUNTIFS('채점내역'!D8:AQ8,"정답 미등록")&gt;0,"정답 확인",IF(AV10&gt;0,"입력 오류",IF(AU10&gt;0,"미응답 포함","채점 완료"))))))</x:f>
        <x:v>채점 완료</x:v>
      </x:c>
      <x:c r="AU10" s="2" t="n">
        <x:f>COUNTIFS('채점내역'!D8:AQ8,"미응답")</x:f>
        <x:v>0</x:v>
      </x:c>
      <x:c r="AV10" s="2" t="n">
        <x:f>COUNTIFS('채점내역'!D8:AQ8,"잘못된 입력")</x:f>
        <x:v>0</x:v>
      </x:c>
      <x:c r="AW10" s="2" t="n">
        <x:f>COUNTIFS('채점내역'!D8:AQ8,"오답")</x:f>
        <x:v>20</x:v>
      </x:c>
      <x:c r="AX10" s="2" t="n">
        <x:f>COUNTIFS('채점내역'!D8:AQ8,"정답")</x:f>
        <x:v>20</x:v>
      </x:c>
    </x:row>
    <x:row r="11" ht="25" customHeight="1">
      <x:c r="A11" s="2" t="str">
        <x:v>S002</x:v>
      </x:c>
      <x:c r="B11" s="2" t="str"/>
      <x:c r="C11" s="2" t="str">
        <x:v>응시</x:v>
      </x:c>
      <x:c r="D11" s="2" t="n">
        <x:v>1</x:v>
      </x:c>
      <x:c r="E11" s="2" t="n">
        <x:v>3</x:v>
      </x:c>
      <x:c r="F11" s="2" t="n">
        <x:v>3</x:v>
      </x:c>
      <x:c r="G11" s="2" t="n">
        <x:v>4</x:v>
      </x:c>
      <x:c r="H11" s="2" t="n">
        <x:v>2</x:v>
      </x:c>
      <x:c r="I11" s="2" t="n">
        <x:v>3</x:v>
      </x:c>
      <x:c r="J11" s="2" t="n">
        <x:v>3</x:v>
      </x:c>
      <x:c r="K11" s="2" t="n">
        <x:v>4</x:v>
      </x:c>
      <x:c r="L11" s="2" t="n">
        <x:v>2</x:v>
      </x:c>
      <x:c r="M11" s="2" t="n">
        <x:v>2</x:v>
      </x:c>
      <x:c r="N11" s="2" t="n">
        <x:v>3</x:v>
      </x:c>
      <x:c r="O11" s="2" t="n">
        <x:v>1</x:v>
      </x:c>
      <x:c r="P11" s="2" t="n">
        <x:v>1</x:v>
      </x:c>
      <x:c r="Q11" s="2" t="n">
        <x:v>2</x:v>
      </x:c>
      <x:c r="R11" s="2" t="n">
        <x:v>4</x:v>
      </x:c>
      <x:c r="S11" s="2" t="n">
        <x:v>1</x:v>
      </x:c>
      <x:c r="T11" s="2" t="n">
        <x:v>1</x:v>
      </x:c>
      <x:c r="U11" s="2" t="n">
        <x:v>2</x:v>
      </x:c>
      <x:c r="V11" s="2" t="n">
        <x:v>4</x:v>
      </x:c>
      <x:c r="W11" s="2" t="n">
        <x:v>4</x:v>
      </x:c>
      <x:c r="X11" s="2" t="n">
        <x:v>1</x:v>
      </x:c>
      <x:c r="Y11" s="2" t="n">
        <x:v>3</x:v>
      </x:c>
      <x:c r="Z11" s="2" t="n">
        <x:v>3</x:v>
      </x:c>
      <x:c r="AA11" s="2" t="n">
        <x:v>4</x:v>
      </x:c>
      <x:c r="AB11" s="2" t="n">
        <x:v>2</x:v>
      </x:c>
      <x:c r="AC11" s="2" t="n">
        <x:v>3</x:v>
      </x:c>
      <x:c r="AD11" s="2" t="n">
        <x:v>3</x:v>
      </x:c>
      <x:c r="AE11" s="2" t="n">
        <x:v>4</x:v>
      </x:c>
      <x:c r="AF11" s="2" t="n">
        <x:v>2</x:v>
      </x:c>
      <x:c r="AG11" s="2" t="n">
        <x:v>2</x:v>
      </x:c>
      <x:c r="AH11" s="2" t="n">
        <x:v>3</x:v>
      </x:c>
      <x:c r="AI11" s="2" t="n">
        <x:v>1</x:v>
      </x:c>
      <x:c r="AJ11" s="2" t="n">
        <x:v>1</x:v>
      </x:c>
      <x:c r="AK11" s="2" t="n">
        <x:v>2</x:v>
      </x:c>
      <x:c r="AL11" s="2" t="n">
        <x:v>4</x:v>
      </x:c>
      <x:c r="AM11" s="2" t="n">
        <x:v>1</x:v>
      </x:c>
      <x:c r="AN11" s="2" t="n">
        <x:v>1</x:v>
      </x:c>
      <x:c r="AO11" s="2" t="n">
        <x:v>2</x:v>
      </x:c>
      <x:c r="AP11" s="2" t="n">
        <x:v>4</x:v>
      </x:c>
      <x:c r="AQ11" s="2" t="n">
        <x:v>4</x:v>
      </x:c>
      <x:c r="AR11" s="2" t="n">
        <x:f>IF(OR(AT11="채점 완료",AT11="미응답 포함"),AX11,"채점 보류")</x:f>
        <x:v>24</x:v>
      </x:c>
      <x:c r="AS11" s="2" t="n">
        <x:f>IF(ISNUMBER(AR11),1+COUNTIFS($AR$10:$AR$37,"&gt;"&amp;AR11),"순위 제외")</x:f>
        <x:v>13</x:v>
      </x:c>
      <x:c r="AT11" s="2" t="str">
        <x:f>IF(OR(A11="",COUNTIFS($A$10:$A$37,A11)&lt;&gt;1),"ID 확인",IF(C11="결시","결시",IF(C11&lt;&gt;"응시","응시 상태 확인",IF(COUNTIFS('채점내역'!D9:AQ9,"정답 미등록")&gt;0,"정답 확인",IF(AV11&gt;0,"입력 오류",IF(AU11&gt;0,"미응답 포함","채점 완료"))))))</x:f>
        <x:v>채점 완료</x:v>
      </x:c>
      <x:c r="AU11" s="2" t="n">
        <x:f>COUNTIFS('채점내역'!D9:AQ9,"미응답")</x:f>
        <x:v>0</x:v>
      </x:c>
      <x:c r="AV11" s="2" t="n">
        <x:f>COUNTIFS('채점내역'!D9:AQ9,"잘못된 입력")</x:f>
        <x:v>0</x:v>
      </x:c>
      <x:c r="AW11" s="2" t="n">
        <x:f>COUNTIFS('채점내역'!D9:AQ9,"오답")</x:f>
        <x:v>16</x:v>
      </x:c>
      <x:c r="AX11" s="2" t="n">
        <x:f>COUNTIFS('채점내역'!D9:AQ9,"정답")</x:f>
        <x:v>24</x:v>
      </x:c>
    </x:row>
    <x:row r="12" ht="25" customHeight="1">
      <x:c r="A12" s="2" t="str">
        <x:v>S003</x:v>
      </x:c>
      <x:c r="B12" s="2" t="str"/>
      <x:c r="C12" s="2" t="str">
        <x:v>응시</x:v>
      </x:c>
      <x:c r="D12" s="2" t="n">
        <x:v>1</x:v>
      </x:c>
      <x:c r="E12" s="2" t="n">
        <x:v>3</x:v>
      </x:c>
      <x:c r="F12" s="2" t="n">
        <x:v>3</x:v>
      </x:c>
      <x:c r="G12" s="2" t="n">
        <x:v>4</x:v>
      </x:c>
      <x:c r="H12" s="2" t="n">
        <x:v>1</x:v>
      </x:c>
      <x:c r="I12" s="2" t="n">
        <x:v>3</x:v>
      </x:c>
      <x:c r="J12" s="2" t="n">
        <x:v>3</x:v>
      </x:c>
      <x:c r="K12" s="2" t="n">
        <x:v>4</x:v>
      </x:c>
      <x:c r="L12" s="2" t="n">
        <x:v>2</x:v>
      </x:c>
      <x:c r="M12" s="2" t="n">
        <x:v>2</x:v>
      </x:c>
      <x:c r="N12" s="2" t="n">
        <x:v>3</x:v>
      </x:c>
      <x:c r="O12" s="2" t="n">
        <x:v>1</x:v>
      </x:c>
      <x:c r="P12" s="2" t="n">
        <x:v>1</x:v>
      </x:c>
      <x:c r="Q12" s="2" t="n">
        <x:v>2</x:v>
      </x:c>
      <x:c r="R12" s="2" t="n">
        <x:v>3</x:v>
      </x:c>
      <x:c r="S12" s="2" t="n">
        <x:v>1</x:v>
      </x:c>
      <x:c r="T12" s="2" t="n">
        <x:v>1</x:v>
      </x:c>
      <x:c r="U12" s="2" t="n">
        <x:v>2</x:v>
      </x:c>
      <x:c r="V12" s="2" t="n">
        <x:v>4</x:v>
      </x:c>
      <x:c r="W12" s="2" t="n">
        <x:v>4</x:v>
      </x:c>
      <x:c r="X12" s="2" t="n">
        <x:v>1</x:v>
      </x:c>
      <x:c r="Y12" s="2" t="n">
        <x:v>3</x:v>
      </x:c>
      <x:c r="Z12" s="2" t="n">
        <x:v>3</x:v>
      </x:c>
      <x:c r="AA12" s="2" t="n">
        <x:v>4</x:v>
      </x:c>
      <x:c r="AB12" s="2" t="n">
        <x:v>1</x:v>
      </x:c>
      <x:c r="AC12" s="2" t="n">
        <x:v>3</x:v>
      </x:c>
      <x:c r="AD12" s="2" t="n">
        <x:v>3</x:v>
      </x:c>
      <x:c r="AE12" s="2" t="n">
        <x:v>4</x:v>
      </x:c>
      <x:c r="AF12" s="2" t="n">
        <x:v>2</x:v>
      </x:c>
      <x:c r="AG12" s="2" t="n">
        <x:v>2</x:v>
      </x:c>
      <x:c r="AH12" s="2" t="n">
        <x:v>3</x:v>
      </x:c>
      <x:c r="AI12" s="2" t="n">
        <x:v>1</x:v>
      </x:c>
      <x:c r="AJ12" s="2" t="n">
        <x:v>1</x:v>
      </x:c>
      <x:c r="AK12" s="2" t="n">
        <x:v>2</x:v>
      </x:c>
      <x:c r="AL12" s="2" t="n">
        <x:v>3</x:v>
      </x:c>
      <x:c r="AM12" s="2" t="n">
        <x:v>1</x:v>
      </x:c>
      <x:c r="AN12" s="2" t="n">
        <x:v>1</x:v>
      </x:c>
      <x:c r="AO12" s="2" t="n">
        <x:v>2</x:v>
      </x:c>
      <x:c r="AP12" s="2" t="n">
        <x:v>4</x:v>
      </x:c>
      <x:c r="AQ12" s="2" t="n">
        <x:v>4</x:v>
      </x:c>
      <x:c r="AR12" s="2" t="n">
        <x:f>IF(OR(AT12="채점 완료",AT12="미응답 포함"),AX12,"채점 보류")</x:f>
        <x:v>28</x:v>
      </x:c>
      <x:c r="AS12" s="2" t="n">
        <x:f>IF(ISNUMBER(AR12),1+COUNTIFS($AR$10:$AR$37,"&gt;"&amp;AR12),"순위 제외")</x:f>
        <x:v>7</x:v>
      </x:c>
      <x:c r="AT12" s="2" t="str">
        <x:f>IF(OR(A12="",COUNTIFS($A$10:$A$37,A12)&lt;&gt;1),"ID 확인",IF(C12="결시","결시",IF(C12&lt;&gt;"응시","응시 상태 확인",IF(COUNTIFS('채점내역'!D10:AQ10,"정답 미등록")&gt;0,"정답 확인",IF(AV12&gt;0,"입력 오류",IF(AU12&gt;0,"미응답 포함","채점 완료"))))))</x:f>
        <x:v>채점 완료</x:v>
      </x:c>
      <x:c r="AU12" s="2" t="n">
        <x:f>COUNTIFS('채점내역'!D10:AQ10,"미응답")</x:f>
        <x:v>0</x:v>
      </x:c>
      <x:c r="AV12" s="2" t="n">
        <x:f>COUNTIFS('채점내역'!D10:AQ10,"잘못된 입력")</x:f>
        <x:v>0</x:v>
      </x:c>
      <x:c r="AW12" s="2" t="n">
        <x:f>COUNTIFS('채점내역'!D10:AQ10,"오답")</x:f>
        <x:v>12</x:v>
      </x:c>
      <x:c r="AX12" s="2" t="n">
        <x:f>COUNTIFS('채점내역'!D10:AQ10,"정답")</x:f>
        <x:v>28</x:v>
      </x:c>
    </x:row>
    <x:row r="13" ht="25" customHeight="1">
      <x:c r="A13" s="2" t="str">
        <x:v>S004</x:v>
      </x:c>
      <x:c r="B13" s="2" t="str"/>
      <x:c r="C13" s="2" t="str">
        <x:v>응시</x:v>
      </x:c>
      <x:c r="D13" s="2" t="n">
        <x:v>1</x:v>
      </x:c>
      <x:c r="E13" s="2" t="n">
        <x:v>2</x:v>
      </x:c>
      <x:c r="F13" s="2" t="n">
        <x:v>3</x:v>
      </x:c>
      <x:c r="G13" s="2" t="n">
        <x:v>4</x:v>
      </x:c>
      <x:c r="H13" s="2" t="n">
        <x:v>1</x:v>
      </x:c>
      <x:c r="I13" s="2" t="n">
        <x:v>3</x:v>
      </x:c>
      <x:c r="J13" s="2" t="n">
        <x:v>3</x:v>
      </x:c>
      <x:c r="K13" s="2" t="n">
        <x:v>4</x:v>
      </x:c>
      <x:c r="L13" s="2" t="n">
        <x:v>2</x:v>
      </x:c>
      <x:c r="M13" s="2" t="n">
        <x:v>2</x:v>
      </x:c>
      <x:c r="N13" s="2" t="n">
        <x:v>3</x:v>
      </x:c>
      <x:c r="O13" s="2" t="n">
        <x:v>4</x:v>
      </x:c>
      <x:c r="P13" s="2" t="n">
        <x:v>1</x:v>
      </x:c>
      <x:c r="Q13" s="2" t="n">
        <x:v>2</x:v>
      </x:c>
      <x:c r="R13" s="2" t="n">
        <x:v>3</x:v>
      </x:c>
      <x:c r="S13" s="2" t="n">
        <x:v>1</x:v>
      </x:c>
      <x:c r="T13" s="2" t="n">
        <x:v>1</x:v>
      </x:c>
      <x:c r="U13" s="2" t="n">
        <x:v>2</x:v>
      </x:c>
      <x:c r="V13" s="2" t="n">
        <x:v>4</x:v>
      </x:c>
      <x:c r="W13" s="2" t="n">
        <x:v>4</x:v>
      </x:c>
      <x:c r="X13" s="2" t="n">
        <x:v>1</x:v>
      </x:c>
      <x:c r="Y13" s="2" t="n">
        <x:v>2</x:v>
      </x:c>
      <x:c r="Z13" s="2" t="n">
        <x:v>3</x:v>
      </x:c>
      <x:c r="AA13" s="2" t="n">
        <x:v>4</x:v>
      </x:c>
      <x:c r="AB13" s="2" t="n">
        <x:v>1</x:v>
      </x:c>
      <x:c r="AC13" s="2" t="n">
        <x:v>3</x:v>
      </x:c>
      <x:c r="AD13" s="2" t="n">
        <x:v>3</x:v>
      </x:c>
      <x:c r="AE13" s="2" t="n">
        <x:v>4</x:v>
      </x:c>
      <x:c r="AF13" s="2" t="n">
        <x:v>2</x:v>
      </x:c>
      <x:c r="AG13" s="2" t="n">
        <x:v>2</x:v>
      </x:c>
      <x:c r="AH13" s="2" t="n">
        <x:v>3</x:v>
      </x:c>
      <x:c r="AI13" s="2" t="n">
        <x:v>4</x:v>
      </x:c>
      <x:c r="AJ13" s="2" t="n">
        <x:v>1</x:v>
      </x:c>
      <x:c r="AK13" s="2" t="n">
        <x:v>2</x:v>
      </x:c>
      <x:c r="AL13" s="2" t="n">
        <x:v>3</x:v>
      </x:c>
      <x:c r="AM13" s="2" t="n">
        <x:v>1</x:v>
      </x:c>
      <x:c r="AN13" s="2" t="n">
        <x:v>1</x:v>
      </x:c>
      <x:c r="AO13" s="2" t="n">
        <x:v>2</x:v>
      </x:c>
      <x:c r="AP13" s="2" t="n">
        <x:v>4</x:v>
      </x:c>
      <x:c r="AQ13" s="2" t="n">
        <x:v>4</x:v>
      </x:c>
      <x:c r="AR13" s="2" t="n">
        <x:f>IF(OR(AT13="채점 완료",AT13="미응답 포함"),AX13,"채점 보류")</x:f>
        <x:v>32</x:v>
      </x:c>
      <x:c r="AS13" s="2" t="n">
        <x:f>IF(ISNUMBER(AR13),1+COUNTIFS($AR$10:$AR$37,"&gt;"&amp;AR13),"순위 제외")</x:f>
        <x:v>1</x:v>
      </x:c>
      <x:c r="AT13" s="2" t="str">
        <x:f>IF(OR(A13="",COUNTIFS($A$10:$A$37,A13)&lt;&gt;1),"ID 확인",IF(C13="결시","결시",IF(C13&lt;&gt;"응시","응시 상태 확인",IF(COUNTIFS('채점내역'!D11:AQ11,"정답 미등록")&gt;0,"정답 확인",IF(AV13&gt;0,"입력 오류",IF(AU13&gt;0,"미응답 포함","채점 완료"))))))</x:f>
        <x:v>채점 완료</x:v>
      </x:c>
      <x:c r="AU13" s="2" t="n">
        <x:f>COUNTIFS('채점내역'!D11:AQ11,"미응답")</x:f>
        <x:v>0</x:v>
      </x:c>
      <x:c r="AV13" s="2" t="n">
        <x:f>COUNTIFS('채점내역'!D11:AQ11,"잘못된 입력")</x:f>
        <x:v>0</x:v>
      </x:c>
      <x:c r="AW13" s="2" t="n">
        <x:f>COUNTIFS('채점내역'!D11:AQ11,"오답")</x:f>
        <x:v>8</x:v>
      </x:c>
      <x:c r="AX13" s="2" t="n">
        <x:f>COUNTIFS('채점내역'!D11:AQ11,"정답")</x:f>
        <x:v>32</x:v>
      </x:c>
    </x:row>
    <x:row r="14" ht="25" customHeight="1">
      <x:c r="A14" s="2" t="str">
        <x:v>S005</x:v>
      </x:c>
      <x:c r="B14" s="2" t="str"/>
      <x:c r="C14" s="2" t="str">
        <x:v>응시</x:v>
      </x:c>
      <x:c r="D14" s="2" t="n">
        <x:v>1</x:v>
      </x:c>
      <x:c r="E14" s="2" t="n">
        <x:v>2</x:v>
      </x:c>
      <x:c r="F14" s="2" t="n">
        <x:v>4</x:v>
      </x:c>
      <x:c r="G14" s="2" t="n">
        <x:v>1</x:v>
      </x:c>
      <x:c r="H14" s="2" t="n">
        <x:v>1</x:v>
      </x:c>
      <x:c r="I14" s="2" t="n">
        <x:v>3</x:v>
      </x:c>
      <x:c r="J14" s="2" t="n">
        <x:v>4</x:v>
      </x:c>
      <x:c r="K14" s="2" t="n">
        <x:v>4</x:v>
      </x:c>
      <x:c r="L14" s="2" t="n">
        <x:v>1</x:v>
      </x:c>
      <x:c r="M14" s="2" t="n">
        <x:v>3</x:v>
      </x:c>
      <x:c r="N14" s="2" t="n">
        <x:v>3</x:v>
      </x:c>
      <x:c r="O14" s="2" t="n">
        <x:v>4</x:v>
      </x:c>
      <x:c r="P14" s="2" t="n">
        <x:v>2</x:v>
      </x:c>
      <x:c r="Q14" s="2" t="n">
        <x:v>3</x:v>
      </x:c>
      <x:c r="R14" s="2" t="n">
        <x:v>3</x:v>
      </x:c>
      <x:c r="S14" s="2" t="n">
        <x:v>1</x:v>
      </x:c>
      <x:c r="T14" s="2" t="n">
        <x:v>2</x:v>
      </x:c>
      <x:c r="U14" s="2" t="n">
        <x:v>2</x:v>
      </x:c>
      <x:c r="V14" s="2" t="n">
        <x:v>3</x:v>
      </x:c>
      <x:c r="W14" s="2" t="n">
        <x:v>1</x:v>
      </x:c>
      <x:c r="X14" s="2" t="n">
        <x:v>1</x:v>
      </x:c>
      <x:c r="Y14" s="2" t="n">
        <x:v>2</x:v>
      </x:c>
      <x:c r="Z14" s="2" t="n">
        <x:v>4</x:v>
      </x:c>
      <x:c r="AA14" s="2" t="n">
        <x:v>1</x:v>
      </x:c>
      <x:c r="AB14" s="2" t="n">
        <x:v>1</x:v>
      </x:c>
      <x:c r="AC14" s="2" t="n">
        <x:v>3</x:v>
      </x:c>
      <x:c r="AD14" s="2" t="n">
        <x:v>4</x:v>
      </x:c>
      <x:c r="AE14" s="2" t="n">
        <x:v>4</x:v>
      </x:c>
      <x:c r="AF14" s="2" t="n">
        <x:v>1</x:v>
      </x:c>
      <x:c r="AG14" s="2" t="n">
        <x:v>3</x:v>
      </x:c>
      <x:c r="AH14" s="2" t="n">
        <x:v>3</x:v>
      </x:c>
      <x:c r="AI14" s="2" t="n">
        <x:v>4</x:v>
      </x:c>
      <x:c r="AJ14" s="2" t="n">
        <x:v>2</x:v>
      </x:c>
      <x:c r="AK14" s="2" t="n">
        <x:v>3</x:v>
      </x:c>
      <x:c r="AL14" s="2" t="n">
        <x:v>3</x:v>
      </x:c>
      <x:c r="AM14" s="2" t="n">
        <x:v>1</x:v>
      </x:c>
      <x:c r="AN14" s="2" t="n">
        <x:v>2</x:v>
      </x:c>
      <x:c r="AO14" s="2" t="n">
        <x:v>2</x:v>
      </x:c>
      <x:c r="AP14" s="2" t="n">
        <x:v>3</x:v>
      </x:c>
      <x:c r="AQ14" s="2" t="n">
        <x:v>1</x:v>
      </x:c>
      <x:c r="AR14" s="2" t="n">
        <x:f>IF(OR(AT14="채점 완료",AT14="미응답 포함"),AX14,"채점 보류")</x:f>
        <x:v>20</x:v>
      </x:c>
      <x:c r="AS14" s="2" t="n">
        <x:f>IF(ISNUMBER(AR14),1+COUNTIFS($AR$10:$AR$37,"&gt;"&amp;AR14),"순위 제외")</x:f>
        <x:v>19</x:v>
      </x:c>
      <x:c r="AT14" s="2" t="str">
        <x:f>IF(OR(A14="",COUNTIFS($A$10:$A$37,A14)&lt;&gt;1),"ID 확인",IF(C14="결시","결시",IF(C14&lt;&gt;"응시","응시 상태 확인",IF(COUNTIFS('채점내역'!D12:AQ12,"정답 미등록")&gt;0,"정답 확인",IF(AV14&gt;0,"입력 오류",IF(AU14&gt;0,"미응답 포함","채점 완료"))))))</x:f>
        <x:v>채점 완료</x:v>
      </x:c>
      <x:c r="AU14" s="2" t="n">
        <x:f>COUNTIFS('채점내역'!D12:AQ12,"미응답")</x:f>
        <x:v>0</x:v>
      </x:c>
      <x:c r="AV14" s="2" t="n">
        <x:f>COUNTIFS('채점내역'!D12:AQ12,"잘못된 입력")</x:f>
        <x:v>0</x:v>
      </x:c>
      <x:c r="AW14" s="2" t="n">
        <x:f>COUNTIFS('채점내역'!D12:AQ12,"오답")</x:f>
        <x:v>20</x:v>
      </x:c>
      <x:c r="AX14" s="2" t="n">
        <x:f>COUNTIFS('채점내역'!D12:AQ12,"정답")</x:f>
        <x:v>20</x:v>
      </x:c>
    </x:row>
    <x:row r="15" ht="25" customHeight="1">
      <x:c r="A15" s="2" t="str">
        <x:v>S006</x:v>
      </x:c>
      <x:c r="B15" s="2" t="str"/>
      <x:c r="C15" s="2" t="str">
        <x:v>응시</x:v>
      </x:c>
      <x:c r="D15" s="2" t="n">
        <x:v>1</x:v>
      </x:c>
      <x:c r="E15" s="2" t="n">
        <x:v>2</x:v>
      </x:c>
      <x:c r="F15" s="2" t="n">
        <x:v>4</x:v>
      </x:c>
      <x:c r="G15" s="2" t="n">
        <x:v>1</x:v>
      </x:c>
      <x:c r="H15" s="2" t="n">
        <x:v>1</x:v>
      </x:c>
      <x:c r="I15" s="2" t="n">
        <x:v>2</x:v>
      </x:c>
      <x:c r="J15" s="2" t="n">
        <x:v>4</x:v>
      </x:c>
      <x:c r="K15" s="2" t="n">
        <x:v>4</x:v>
      </x:c>
      <x:c r="L15" s="2" t="n">
        <x:v>1</x:v>
      </x:c>
      <x:c r="M15" s="2" t="n">
        <x:v>3</x:v>
      </x:c>
      <x:c r="N15" s="2" t="n">
        <x:v>3</x:v>
      </x:c>
      <x:c r="O15" s="2" t="n">
        <x:v>4</x:v>
      </x:c>
      <x:c r="P15" s="2" t="n">
        <x:v>2</x:v>
      </x:c>
      <x:c r="Q15" s="2" t="n">
        <x:v>3</x:v>
      </x:c>
      <x:c r="R15" s="2" t="n">
        <x:v>3</x:v>
      </x:c>
      <x:c r="S15" s="2" t="n">
        <x:v>4</x:v>
      </x:c>
      <x:c r="T15" s="2" t="n">
        <x:v>2</x:v>
      </x:c>
      <x:c r="U15" s="2" t="n">
        <x:v>2</x:v>
      </x:c>
      <x:c r="V15" s="2" t="n">
        <x:v>3</x:v>
      </x:c>
      <x:c r="W15" s="2" t="n">
        <x:v>1</x:v>
      </x:c>
      <x:c r="X15" s="2" t="n">
        <x:v>1</x:v>
      </x:c>
      <x:c r="Y15" s="2" t="n">
        <x:v>2</x:v>
      </x:c>
      <x:c r="Z15" s="2" t="n">
        <x:v>4</x:v>
      </x:c>
      <x:c r="AA15" s="2" t="n">
        <x:v>1</x:v>
      </x:c>
      <x:c r="AB15" s="2" t="n">
        <x:v>1</x:v>
      </x:c>
      <x:c r="AC15" s="2" t="n">
        <x:v>2</x:v>
      </x:c>
      <x:c r="AD15" s="2" t="n">
        <x:v>4</x:v>
      </x:c>
      <x:c r="AE15" s="2" t="n">
        <x:v>4</x:v>
      </x:c>
      <x:c r="AF15" s="2" t="n">
        <x:v>1</x:v>
      </x:c>
      <x:c r="AG15" s="2" t="n">
        <x:v>3</x:v>
      </x:c>
      <x:c r="AH15" s="2" t="n">
        <x:v>3</x:v>
      </x:c>
      <x:c r="AI15" s="2" t="n">
        <x:v>4</x:v>
      </x:c>
      <x:c r="AJ15" s="2" t="n">
        <x:v>2</x:v>
      </x:c>
      <x:c r="AK15" s="2" t="n">
        <x:v>3</x:v>
      </x:c>
      <x:c r="AL15" s="2" t="n">
        <x:v>3</x:v>
      </x:c>
      <x:c r="AM15" s="2" t="n">
        <x:v>4</x:v>
      </x:c>
      <x:c r="AN15" s="2" t="n">
        <x:v>2</x:v>
      </x:c>
      <x:c r="AO15" s="2" t="n">
        <x:v>2</x:v>
      </x:c>
      <x:c r="AP15" s="2" t="n">
        <x:v>3</x:v>
      </x:c>
      <x:c r="AQ15" s="2" t="n">
        <x:v>1</x:v>
      </x:c>
      <x:c r="AR15" s="2" t="n">
        <x:f>IF(OR(AT15="채점 완료",AT15="미응답 포함"),AX15,"채점 보류")</x:f>
        <x:v>24</x:v>
      </x:c>
      <x:c r="AS15" s="2" t="n">
        <x:f>IF(ISNUMBER(AR15),1+COUNTIFS($AR$10:$AR$37,"&gt;"&amp;AR15),"순위 제외")</x:f>
        <x:v>13</x:v>
      </x:c>
      <x:c r="AT15" s="2" t="str">
        <x:f>IF(OR(A15="",COUNTIFS($A$10:$A$37,A15)&lt;&gt;1),"ID 확인",IF(C15="결시","결시",IF(C15&lt;&gt;"응시","응시 상태 확인",IF(COUNTIFS('채점내역'!D13:AQ13,"정답 미등록")&gt;0,"정답 확인",IF(AV15&gt;0,"입력 오류",IF(AU15&gt;0,"미응답 포함","채점 완료"))))))</x:f>
        <x:v>채점 완료</x:v>
      </x:c>
      <x:c r="AU15" s="2" t="n">
        <x:f>COUNTIFS('채점내역'!D13:AQ13,"미응답")</x:f>
        <x:v>0</x:v>
      </x:c>
      <x:c r="AV15" s="2" t="n">
        <x:f>COUNTIFS('채점내역'!D13:AQ13,"잘못된 입력")</x:f>
        <x:v>0</x:v>
      </x:c>
      <x:c r="AW15" s="2" t="n">
        <x:f>COUNTIFS('채점내역'!D13:AQ13,"오답")</x:f>
        <x:v>16</x:v>
      </x:c>
      <x:c r="AX15" s="2" t="n">
        <x:f>COUNTIFS('채점내역'!D13:AQ13,"정답")</x:f>
        <x:v>24</x:v>
      </x:c>
    </x:row>
    <x:row r="16" ht="25" customHeight="1">
      <x:c r="A16" s="2" t="str">
        <x:v>S007</x:v>
      </x:c>
      <x:c r="B16" s="2" t="str"/>
      <x:c r="C16" s="2" t="str">
        <x:v>응시</x:v>
      </x:c>
      <x:c r="D16" s="2" t="n">
        <x:v>1</x:v>
      </x:c>
      <x:c r="E16" s="2" t="n">
        <x:v>2</x:v>
      </x:c>
      <x:c r="F16" s="2" t="n">
        <x:v>3</x:v>
      </x:c>
      <x:c r="G16" s="2" t="n">
        <x:v>1</x:v>
      </x:c>
      <x:c r="H16" s="2" t="n">
        <x:v>1</x:v>
      </x:c>
      <x:c r="I16" s="2" t="n">
        <x:v>2</x:v>
      </x:c>
      <x:c r="J16" s="2" t="n">
        <x:v>4</x:v>
      </x:c>
      <x:c r="K16" s="2" t="n">
        <x:v>4</x:v>
      </x:c>
      <x:c r="L16" s="2" t="n">
        <x:v>1</x:v>
      </x:c>
      <x:c r="M16" s="2" t="n">
        <x:v>3</x:v>
      </x:c>
      <x:c r="N16" s="2" t="n">
        <x:v>3</x:v>
      </x:c>
      <x:c r="O16" s="2" t="n">
        <x:v>4</x:v>
      </x:c>
      <x:c r="P16" s="2" t="n">
        <x:v>1</x:v>
      </x:c>
      <x:c r="Q16" s="2" t="n">
        <x:v>3</x:v>
      </x:c>
      <x:c r="R16" s="2" t="n">
        <x:v>3</x:v>
      </x:c>
      <x:c r="S16" s="2" t="n">
        <x:v>4</x:v>
      </x:c>
      <x:c r="T16" s="2" t="n">
        <x:v>2</x:v>
      </x:c>
      <x:c r="U16" s="2" t="n">
        <x:v>2</x:v>
      </x:c>
      <x:c r="V16" s="2" t="n">
        <x:v>3</x:v>
      </x:c>
      <x:c r="W16" s="2" t="n">
        <x:v>1</x:v>
      </x:c>
      <x:c r="X16" s="2" t="n">
        <x:v>1</x:v>
      </x:c>
      <x:c r="Y16" s="2" t="n">
        <x:v>2</x:v>
      </x:c>
      <x:c r="Z16" s="2" t="n">
        <x:v>3</x:v>
      </x:c>
      <x:c r="AA16" s="2" t="n">
        <x:v>1</x:v>
      </x:c>
      <x:c r="AB16" s="2" t="n">
        <x:v>1</x:v>
      </x:c>
      <x:c r="AC16" s="2" t="n">
        <x:v>2</x:v>
      </x:c>
      <x:c r="AD16" s="2" t="n">
        <x:v>4</x:v>
      </x:c>
      <x:c r="AE16" s="2" t="n">
        <x:v>4</x:v>
      </x:c>
      <x:c r="AF16" s="2" t="n">
        <x:v>1</x:v>
      </x:c>
      <x:c r="AG16" s="2" t="n">
        <x:v>3</x:v>
      </x:c>
      <x:c r="AH16" s="2" t="n">
        <x:v>3</x:v>
      </x:c>
      <x:c r="AI16" s="2" t="n">
        <x:v>4</x:v>
      </x:c>
      <x:c r="AJ16" s="2" t="n">
        <x:v>1</x:v>
      </x:c>
      <x:c r="AK16" s="2" t="n">
        <x:v>3</x:v>
      </x:c>
      <x:c r="AL16" s="2" t="n">
        <x:v>3</x:v>
      </x:c>
      <x:c r="AM16" s="2" t="n">
        <x:v>4</x:v>
      </x:c>
      <x:c r="AN16" s="2" t="n">
        <x:v>2</x:v>
      </x:c>
      <x:c r="AO16" s="2" t="n">
        <x:v>2</x:v>
      </x:c>
      <x:c r="AP16" s="2" t="n">
        <x:v>3</x:v>
      </x:c>
      <x:c r="AQ16" s="2" t="n">
        <x:v>1</x:v>
      </x:c>
      <x:c r="AR16" s="2" t="n">
        <x:f>IF(OR(AT16="채점 완료",AT16="미응답 포함"),AX16,"채점 보류")</x:f>
        <x:v>28</x:v>
      </x:c>
      <x:c r="AS16" s="2" t="n">
        <x:f>IF(ISNUMBER(AR16),1+COUNTIFS($AR$10:$AR$37,"&gt;"&amp;AR16),"순위 제외")</x:f>
        <x:v>7</x:v>
      </x:c>
      <x:c r="AT16" s="2" t="str">
        <x:f>IF(OR(A16="",COUNTIFS($A$10:$A$37,A16)&lt;&gt;1),"ID 확인",IF(C16="결시","결시",IF(C16&lt;&gt;"응시","응시 상태 확인",IF(COUNTIFS('채점내역'!D14:AQ14,"정답 미등록")&gt;0,"정답 확인",IF(AV16&gt;0,"입력 오류",IF(AU16&gt;0,"미응답 포함","채점 완료"))))))</x:f>
        <x:v>채점 완료</x:v>
      </x:c>
      <x:c r="AU16" s="2" t="n">
        <x:f>COUNTIFS('채점내역'!D14:AQ14,"미응답")</x:f>
        <x:v>0</x:v>
      </x:c>
      <x:c r="AV16" s="2" t="n">
        <x:f>COUNTIFS('채점내역'!D14:AQ14,"잘못된 입력")</x:f>
        <x:v>0</x:v>
      </x:c>
      <x:c r="AW16" s="2" t="n">
        <x:f>COUNTIFS('채점내역'!D14:AQ14,"오답")</x:f>
        <x:v>12</x:v>
      </x:c>
      <x:c r="AX16" s="2" t="n">
        <x:f>COUNTIFS('채점내역'!D14:AQ14,"정답")</x:f>
        <x:v>28</x:v>
      </x:c>
    </x:row>
    <x:row r="17" ht="25" customHeight="1">
      <x:c r="A17" s="2" t="str">
        <x:v>S008</x:v>
      </x:c>
      <x:c r="B17" s="2" t="str"/>
      <x:c r="C17" s="2" t="str">
        <x:v>응시</x:v>
      </x:c>
      <x:c r="D17" s="2" t="n">
        <x:v>1</x:v>
      </x:c>
      <x:c r="E17" s="2" t="n">
        <x:v>2</x:v>
      </x:c>
      <x:c r="F17" s="2" t="n">
        <x:v>3</x:v>
      </x:c>
      <x:c r="G17" s="2" t="n">
        <x:v>1</x:v>
      </x:c>
      <x:c r="H17" s="2" t="n">
        <x:v>1</x:v>
      </x:c>
      <x:c r="I17" s="2" t="n">
        <x:v>2</x:v>
      </x:c>
      <x:c r="J17" s="2" t="n">
        <x:v>4</x:v>
      </x:c>
      <x:c r="K17" s="2" t="n">
        <x:v>4</x:v>
      </x:c>
      <x:c r="L17" s="2" t="n">
        <x:v>1</x:v>
      </x:c>
      <x:c r="M17" s="2" t="n">
        <x:v>2</x:v>
      </x:c>
      <x:c r="N17" s="2" t="n">
        <x:v>3</x:v>
      </x:c>
      <x:c r="O17" s="2" t="n">
        <x:v>4</x:v>
      </x:c>
      <x:c r="P17" s="2" t="n">
        <x:v>1</x:v>
      </x:c>
      <x:c r="Q17" s="2" t="n">
        <x:v>3</x:v>
      </x:c>
      <x:c r="R17" s="2" t="n">
        <x:v>3</x:v>
      </x:c>
      <x:c r="S17" s="2" t="n">
        <x:v>4</x:v>
      </x:c>
      <x:c r="T17" s="2" t="n">
        <x:v>2</x:v>
      </x:c>
      <x:c r="U17" s="2" t="n">
        <x:v>2</x:v>
      </x:c>
      <x:c r="V17" s="2" t="n">
        <x:v>3</x:v>
      </x:c>
      <x:c r="W17" s="2" t="n">
        <x:v>4</x:v>
      </x:c>
      <x:c r="X17" s="2" t="n">
        <x:v>1</x:v>
      </x:c>
      <x:c r="Y17" s="2" t="n">
        <x:v>2</x:v>
      </x:c>
      <x:c r="Z17" s="2" t="n">
        <x:v>3</x:v>
      </x:c>
      <x:c r="AA17" s="2" t="n">
        <x:v>1</x:v>
      </x:c>
      <x:c r="AB17" s="2" t="n">
        <x:v>1</x:v>
      </x:c>
      <x:c r="AC17" s="2" t="n">
        <x:v>2</x:v>
      </x:c>
      <x:c r="AD17" s="2" t="n">
        <x:v>4</x:v>
      </x:c>
      <x:c r="AE17" s="2" t="n">
        <x:v>4</x:v>
      </x:c>
      <x:c r="AF17" s="2" t="n">
        <x:v>1</x:v>
      </x:c>
      <x:c r="AG17" s="2" t="n">
        <x:v>2</x:v>
      </x:c>
      <x:c r="AH17" s="2" t="n">
        <x:v>3</x:v>
      </x:c>
      <x:c r="AI17" s="2" t="n">
        <x:v>4</x:v>
      </x:c>
      <x:c r="AJ17" s="2" t="n">
        <x:v>1</x:v>
      </x:c>
      <x:c r="AK17" s="2" t="n">
        <x:v>3</x:v>
      </x:c>
      <x:c r="AL17" s="2" t="n">
        <x:v>3</x:v>
      </x:c>
      <x:c r="AM17" s="2" t="n">
        <x:v>4</x:v>
      </x:c>
      <x:c r="AN17" s="2" t="n">
        <x:v>2</x:v>
      </x:c>
      <x:c r="AO17" s="2" t="n">
        <x:v>2</x:v>
      </x:c>
      <x:c r="AP17" s="2" t="n">
        <x:v>3</x:v>
      </x:c>
      <x:c r="AQ17" s="2" t="n">
        <x:v>4</x:v>
      </x:c>
      <x:c r="AR17" s="2" t="n">
        <x:f>IF(OR(AT17="채점 완료",AT17="미응답 포함"),AX17,"채점 보류")</x:f>
        <x:v>32</x:v>
      </x:c>
      <x:c r="AS17" s="2" t="n">
        <x:f>IF(ISNUMBER(AR17),1+COUNTIFS($AR$10:$AR$37,"&gt;"&amp;AR17),"순위 제외")</x:f>
        <x:v>1</x:v>
      </x:c>
      <x:c r="AT17" s="2" t="str">
        <x:f>IF(OR(A17="",COUNTIFS($A$10:$A$37,A17)&lt;&gt;1),"ID 확인",IF(C17="결시","결시",IF(C17&lt;&gt;"응시","응시 상태 확인",IF(COUNTIFS('채점내역'!D15:AQ15,"정답 미등록")&gt;0,"정답 확인",IF(AV17&gt;0,"입력 오류",IF(AU17&gt;0,"미응답 포함","채점 완료"))))))</x:f>
        <x:v>채점 완료</x:v>
      </x:c>
      <x:c r="AU17" s="2" t="n">
        <x:f>COUNTIFS('채점내역'!D15:AQ15,"미응답")</x:f>
        <x:v>0</x:v>
      </x:c>
      <x:c r="AV17" s="2" t="n">
        <x:f>COUNTIFS('채점내역'!D15:AQ15,"잘못된 입력")</x:f>
        <x:v>0</x:v>
      </x:c>
      <x:c r="AW17" s="2" t="n">
        <x:f>COUNTIFS('채점내역'!D15:AQ15,"오답")</x:f>
        <x:v>8</x:v>
      </x:c>
      <x:c r="AX17" s="2" t="n">
        <x:f>COUNTIFS('채점내역'!D15:AQ15,"정답")</x:f>
        <x:v>32</x:v>
      </x:c>
    </x:row>
    <x:row r="18" ht="25" customHeight="1">
      <x:c r="A18" s="2" t="str">
        <x:v>S009</x:v>
      </x:c>
      <x:c r="B18" s="2" t="str"/>
      <x:c r="C18" s="2" t="str">
        <x:v>응시</x:v>
      </x:c>
      <x:c r="D18" s="2" t="n">
        <x:v>2</x:v>
      </x:c>
      <x:c r="E18" s="2" t="n">
        <x:v>3</x:v>
      </x:c>
      <x:c r="F18" s="2" t="n">
        <x:v>3</x:v>
      </x:c>
      <x:c r="G18" s="2" t="n">
        <x:v>1</x:v>
      </x:c>
      <x:c r="H18" s="2" t="n">
        <x:v>2</x:v>
      </x:c>
      <x:c r="I18" s="2" t="n">
        <x:v>2</x:v>
      </x:c>
      <x:c r="J18" s="2" t="n">
        <x:v>3</x:v>
      </x:c>
      <x:c r="K18" s="2" t="n">
        <x:v>1</x:v>
      </x:c>
      <x:c r="L18" s="2" t="n">
        <x:v>1</x:v>
      </x:c>
      <x:c r="M18" s="2" t="n">
        <x:v>2</x:v>
      </x:c>
      <x:c r="N18" s="2" t="n">
        <x:v>4</x:v>
      </x:c>
      <x:c r="O18" s="2" t="n">
        <x:v>1</x:v>
      </x:c>
      <x:c r="P18" s="2" t="n">
        <x:v>1</x:v>
      </x:c>
      <x:c r="Q18" s="2" t="n">
        <x:v>3</x:v>
      </x:c>
      <x:c r="R18" s="2" t="n">
        <x:v>4</x:v>
      </x:c>
      <x:c r="S18" s="2" t="n">
        <x:v>4</x:v>
      </x:c>
      <x:c r="T18" s="2" t="n">
        <x:v>1</x:v>
      </x:c>
      <x:c r="U18" s="2" t="n">
        <x:v>3</x:v>
      </x:c>
      <x:c r="V18" s="2" t="n">
        <x:v>3</x:v>
      </x:c>
      <x:c r="W18" s="2" t="n">
        <x:v>4</x:v>
      </x:c>
      <x:c r="X18" s="2" t="n">
        <x:v>2</x:v>
      </x:c>
      <x:c r="Y18" s="2" t="n">
        <x:v>3</x:v>
      </x:c>
      <x:c r="Z18" s="2" t="n">
        <x:v>3</x:v>
      </x:c>
      <x:c r="AA18" s="2" t="n">
        <x:v>1</x:v>
      </x:c>
      <x:c r="AB18" s="2" t="n">
        <x:v>2</x:v>
      </x:c>
      <x:c r="AC18" s="2" t="n">
        <x:v>2</x:v>
      </x:c>
      <x:c r="AD18" s="2" t="n">
        <x:v>3</x:v>
      </x:c>
      <x:c r="AE18" s="2" t="n">
        <x:v>1</x:v>
      </x:c>
      <x:c r="AF18" s="2" t="n">
        <x:v>1</x:v>
      </x:c>
      <x:c r="AG18" s="2" t="n">
        <x:v>2</x:v>
      </x:c>
      <x:c r="AH18" s="2" t="n">
        <x:v>4</x:v>
      </x:c>
      <x:c r="AI18" s="2" t="n">
        <x:v>1</x:v>
      </x:c>
      <x:c r="AJ18" s="2" t="n">
        <x:v>1</x:v>
      </x:c>
      <x:c r="AK18" s="2" t="n">
        <x:v>3</x:v>
      </x:c>
      <x:c r="AL18" s="2" t="n">
        <x:v>4</x:v>
      </x:c>
      <x:c r="AM18" s="2" t="n">
        <x:v>4</x:v>
      </x:c>
      <x:c r="AN18" s="2" t="n">
        <x:v>1</x:v>
      </x:c>
      <x:c r="AO18" s="2" t="n">
        <x:v>3</x:v>
      </x:c>
      <x:c r="AP18" s="2" t="n">
        <x:v>3</x:v>
      </x:c>
      <x:c r="AQ18" s="2" t="n">
        <x:v>4</x:v>
      </x:c>
      <x:c r="AR18" s="2" t="n">
        <x:f>IF(OR(AT18="채점 완료",AT18="미응답 포함"),AX18,"채점 보류")</x:f>
        <x:v>20</x:v>
      </x:c>
      <x:c r="AS18" s="2" t="n">
        <x:f>IF(ISNUMBER(AR18),1+COUNTIFS($AR$10:$AR$37,"&gt;"&amp;AR18),"순위 제외")</x:f>
        <x:v>19</x:v>
      </x:c>
      <x:c r="AT18" s="2" t="str">
        <x:f>IF(OR(A18="",COUNTIFS($A$10:$A$37,A18)&lt;&gt;1),"ID 확인",IF(C18="결시","결시",IF(C18&lt;&gt;"응시","응시 상태 확인",IF(COUNTIFS('채점내역'!D16:AQ16,"정답 미등록")&gt;0,"정답 확인",IF(AV18&gt;0,"입력 오류",IF(AU18&gt;0,"미응답 포함","채점 완료"))))))</x:f>
        <x:v>채점 완료</x:v>
      </x:c>
      <x:c r="AU18" s="2" t="n">
        <x:f>COUNTIFS('채점내역'!D16:AQ16,"미응답")</x:f>
        <x:v>0</x:v>
      </x:c>
      <x:c r="AV18" s="2" t="n">
        <x:f>COUNTIFS('채점내역'!D16:AQ16,"잘못된 입력")</x:f>
        <x:v>0</x:v>
      </x:c>
      <x:c r="AW18" s="2" t="n">
        <x:f>COUNTIFS('채점내역'!D16:AQ16,"오답")</x:f>
        <x:v>20</x:v>
      </x:c>
      <x:c r="AX18" s="2" t="n">
        <x:f>COUNTIFS('채점내역'!D16:AQ16,"정답")</x:f>
        <x:v>20</x:v>
      </x:c>
    </x:row>
    <x:row r="19" ht="25" customHeight="1">
      <x:c r="A19" s="2" t="str">
        <x:v>S010</x:v>
      </x:c>
      <x:c r="B19" s="2" t="str"/>
      <x:c r="C19" s="2" t="str">
        <x:v>응시</x:v>
      </x:c>
      <x:c r="D19" s="2" t="n">
        <x:v>2</x:v>
      </x:c>
      <x:c r="E19" s="2" t="n">
        <x:v>3</x:v>
      </x:c>
      <x:c r="F19" s="2" t="n">
        <x:v>3</x:v>
      </x:c>
      <x:c r="G19" s="2" t="n">
        <x:v>4</x:v>
      </x:c>
      <x:c r="H19" s="2" t="n">
        <x:v>2</x:v>
      </x:c>
      <x:c r="I19" s="2" t="n">
        <x:v>2</x:v>
      </x:c>
      <x:c r="J19" s="2" t="n">
        <x:v>3</x:v>
      </x:c>
      <x:c r="K19" s="2" t="n">
        <x:v>1</x:v>
      </x:c>
      <x:c r="L19" s="2" t="n">
        <x:v>1</x:v>
      </x:c>
      <x:c r="M19" s="2" t="n">
        <x:v>2</x:v>
      </x:c>
      <x:c r="N19" s="2" t="n">
        <x:v>4</x:v>
      </x:c>
      <x:c r="O19" s="2" t="n">
        <x:v>1</x:v>
      </x:c>
      <x:c r="P19" s="2" t="n">
        <x:v>1</x:v>
      </x:c>
      <x:c r="Q19" s="2" t="n">
        <x:v>2</x:v>
      </x:c>
      <x:c r="R19" s="2" t="n">
        <x:v>4</x:v>
      </x:c>
      <x:c r="S19" s="2" t="n">
        <x:v>4</x:v>
      </x:c>
      <x:c r="T19" s="2" t="n">
        <x:v>1</x:v>
      </x:c>
      <x:c r="U19" s="2" t="n">
        <x:v>3</x:v>
      </x:c>
      <x:c r="V19" s="2" t="n">
        <x:v>3</x:v>
      </x:c>
      <x:c r="W19" s="2" t="n">
        <x:v>4</x:v>
      </x:c>
      <x:c r="X19" s="2" t="n">
        <x:v>2</x:v>
      </x:c>
      <x:c r="Y19" s="2" t="n">
        <x:v>3</x:v>
      </x:c>
      <x:c r="Z19" s="2" t="n">
        <x:v>3</x:v>
      </x:c>
      <x:c r="AA19" s="2" t="n">
        <x:v>4</x:v>
      </x:c>
      <x:c r="AB19" s="2" t="n">
        <x:v>2</x:v>
      </x:c>
      <x:c r="AC19" s="2" t="n">
        <x:v>2</x:v>
      </x:c>
      <x:c r="AD19" s="2" t="n">
        <x:v>3</x:v>
      </x:c>
      <x:c r="AE19" s="2" t="n">
        <x:v>1</x:v>
      </x:c>
      <x:c r="AF19" s="2" t="n">
        <x:v>1</x:v>
      </x:c>
      <x:c r="AG19" s="2" t="n">
        <x:v>2</x:v>
      </x:c>
      <x:c r="AH19" s="2" t="n">
        <x:v>4</x:v>
      </x:c>
      <x:c r="AI19" s="2" t="n">
        <x:v>1</x:v>
      </x:c>
      <x:c r="AJ19" s="2" t="n">
        <x:v>1</x:v>
      </x:c>
      <x:c r="AK19" s="2" t="n">
        <x:v>2</x:v>
      </x:c>
      <x:c r="AL19" s="2" t="n">
        <x:v>4</x:v>
      </x:c>
      <x:c r="AM19" s="2" t="n">
        <x:v>4</x:v>
      </x:c>
      <x:c r="AN19" s="2" t="n">
        <x:v>1</x:v>
      </x:c>
      <x:c r="AO19" s="2" t="n">
        <x:v>3</x:v>
      </x:c>
      <x:c r="AP19" s="2" t="n">
        <x:v>3</x:v>
      </x:c>
      <x:c r="AQ19" s="2" t="n">
        <x:v>4</x:v>
      </x:c>
      <x:c r="AR19" s="2" t="n">
        <x:f>IF(OR(AT19="채점 완료",AT19="미응답 포함"),AX19,"채점 보류")</x:f>
        <x:v>24</x:v>
      </x:c>
      <x:c r="AS19" s="2" t="n">
        <x:f>IF(ISNUMBER(AR19),1+COUNTIFS($AR$10:$AR$37,"&gt;"&amp;AR19),"순위 제외")</x:f>
        <x:v>13</x:v>
      </x:c>
      <x:c r="AT19" s="2" t="str">
        <x:f>IF(OR(A19="",COUNTIFS($A$10:$A$37,A19)&lt;&gt;1),"ID 확인",IF(C19="결시","결시",IF(C19&lt;&gt;"응시","응시 상태 확인",IF(COUNTIFS('채점내역'!D17:AQ17,"정답 미등록")&gt;0,"정답 확인",IF(AV19&gt;0,"입력 오류",IF(AU19&gt;0,"미응답 포함","채점 완료"))))))</x:f>
        <x:v>채점 완료</x:v>
      </x:c>
      <x:c r="AU19" s="2" t="n">
        <x:f>COUNTIFS('채점내역'!D17:AQ17,"미응답")</x:f>
        <x:v>0</x:v>
      </x:c>
      <x:c r="AV19" s="2" t="n">
        <x:f>COUNTIFS('채점내역'!D17:AQ17,"잘못된 입력")</x:f>
        <x:v>0</x:v>
      </x:c>
      <x:c r="AW19" s="2" t="n">
        <x:f>COUNTIFS('채점내역'!D17:AQ17,"오답")</x:f>
        <x:v>16</x:v>
      </x:c>
      <x:c r="AX19" s="2" t="n">
        <x:f>COUNTIFS('채점내역'!D17:AQ17,"정답")</x:f>
        <x:v>24</x:v>
      </x:c>
    </x:row>
    <x:row r="20" ht="25" customHeight="1">
      <x:c r="A20" s="2" t="str">
        <x:v>S011</x:v>
      </x:c>
      <x:c r="B20" s="2" t="str"/>
      <x:c r="C20" s="2" t="str">
        <x:v>응시</x:v>
      </x:c>
      <x:c r="D20" s="2" t="n">
        <x:v>1</x:v>
      </x:c>
      <x:c r="E20" s="2" t="n">
        <x:v>3</x:v>
      </x:c>
      <x:c r="F20" s="2" t="n">
        <x:v>3</x:v>
      </x:c>
      <x:c r="G20" s="2" t="n">
        <x:v>4</x:v>
      </x:c>
      <x:c r="H20" s="2" t="n">
        <x:v>2</x:v>
      </x:c>
      <x:c r="I20" s="2" t="n">
        <x:v>2</x:v>
      </x:c>
      <x:c r="J20" s="2" t="n">
        <x:v>3</x:v>
      </x:c>
      <x:c r="K20" s="2" t="n">
        <x:v>1</x:v>
      </x:c>
      <x:c r="L20" s="2" t="n">
        <x:v>1</x:v>
      </x:c>
      <x:c r="M20" s="2" t="n">
        <x:v>2</x:v>
      </x:c>
      <x:c r="N20" s="2" t="n">
        <x:v>3</x:v>
      </x:c>
      <x:c r="O20" s="2" t="n">
        <x:v>1</x:v>
      </x:c>
      <x:c r="P20" s="2" t="n">
        <x:v>1</x:v>
      </x:c>
      <x:c r="Q20" s="2" t="n">
        <x:v>2</x:v>
      </x:c>
      <x:c r="R20" s="2" t="n">
        <x:v>4</x:v>
      </x:c>
      <x:c r="S20" s="2" t="n">
        <x:v>4</x:v>
      </x:c>
      <x:c r="T20" s="2" t="n">
        <x:v>1</x:v>
      </x:c>
      <x:c r="U20" s="2" t="n">
        <x:v>3</x:v>
      </x:c>
      <x:c r="V20" s="2" t="n">
        <x:v>3</x:v>
      </x:c>
      <x:c r="W20" s="2" t="n">
        <x:v>4</x:v>
      </x:c>
      <x:c r="X20" s="2" t="n">
        <x:v>1</x:v>
      </x:c>
      <x:c r="Y20" s="2" t="n">
        <x:v>3</x:v>
      </x:c>
      <x:c r="Z20" s="2" t="n">
        <x:v>3</x:v>
      </x:c>
      <x:c r="AA20" s="2" t="n">
        <x:v>4</x:v>
      </x:c>
      <x:c r="AB20" s="2" t="n">
        <x:v>2</x:v>
      </x:c>
      <x:c r="AC20" s="2" t="n">
        <x:v>2</x:v>
      </x:c>
      <x:c r="AD20" s="2" t="n">
        <x:v>3</x:v>
      </x:c>
      <x:c r="AE20" s="2" t="n">
        <x:v>1</x:v>
      </x:c>
      <x:c r="AF20" s="2" t="n">
        <x:v>1</x:v>
      </x:c>
      <x:c r="AG20" s="2" t="n">
        <x:v>2</x:v>
      </x:c>
      <x:c r="AH20" s="2" t="n">
        <x:v>3</x:v>
      </x:c>
      <x:c r="AI20" s="2" t="n">
        <x:v>1</x:v>
      </x:c>
      <x:c r="AJ20" s="2" t="n">
        <x:v>1</x:v>
      </x:c>
      <x:c r="AK20" s="2" t="n">
        <x:v>2</x:v>
      </x:c>
      <x:c r="AL20" s="2" t="n">
        <x:v>4</x:v>
      </x:c>
      <x:c r="AM20" s="2" t="n">
        <x:v>4</x:v>
      </x:c>
      <x:c r="AN20" s="2" t="n">
        <x:v>1</x:v>
      </x:c>
      <x:c r="AO20" s="2" t="n">
        <x:v>3</x:v>
      </x:c>
      <x:c r="AP20" s="2" t="n">
        <x:v>3</x:v>
      </x:c>
      <x:c r="AQ20" s="2" t="n">
        <x:v>4</x:v>
      </x:c>
      <x:c r="AR20" s="2" t="n">
        <x:f>IF(OR(AT20="채점 완료",AT20="미응답 포함"),AX20,"채점 보류")</x:f>
        <x:v>28</x:v>
      </x:c>
      <x:c r="AS20" s="2" t="n">
        <x:f>IF(ISNUMBER(AR20),1+COUNTIFS($AR$10:$AR$37,"&gt;"&amp;AR20),"순위 제외")</x:f>
        <x:v>7</x:v>
      </x:c>
      <x:c r="AT20" s="2" t="str">
        <x:f>IF(OR(A20="",COUNTIFS($A$10:$A$37,A20)&lt;&gt;1),"ID 확인",IF(C20="결시","결시",IF(C20&lt;&gt;"응시","응시 상태 확인",IF(COUNTIFS('채점내역'!D18:AQ18,"정답 미등록")&gt;0,"정답 확인",IF(AV20&gt;0,"입력 오류",IF(AU20&gt;0,"미응답 포함","채점 완료"))))))</x:f>
        <x:v>채점 완료</x:v>
      </x:c>
      <x:c r="AU20" s="2" t="n">
        <x:f>COUNTIFS('채점내역'!D18:AQ18,"미응답")</x:f>
        <x:v>0</x:v>
      </x:c>
      <x:c r="AV20" s="2" t="n">
        <x:f>COUNTIFS('채점내역'!D18:AQ18,"잘못된 입력")</x:f>
        <x:v>0</x:v>
      </x:c>
      <x:c r="AW20" s="2" t="n">
        <x:f>COUNTIFS('채점내역'!D18:AQ18,"오답")</x:f>
        <x:v>12</x:v>
      </x:c>
      <x:c r="AX20" s="2" t="n">
        <x:f>COUNTIFS('채점내역'!D18:AQ18,"정답")</x:f>
        <x:v>28</x:v>
      </x:c>
    </x:row>
    <x:row r="21" ht="25" customHeight="1">
      <x:c r="A21" s="2" t="str">
        <x:v>S012</x:v>
      </x:c>
      <x:c r="B21" s="2" t="str"/>
      <x:c r="C21" s="2" t="str">
        <x:v>응시</x:v>
      </x:c>
      <x:c r="D21" s="2" t="n">
        <x:v>1</x:v>
      </x:c>
      <x:c r="E21" s="2" t="n">
        <x:v>3</x:v>
      </x:c>
      <x:c r="F21" s="2" t="n">
        <x:v>3</x:v>
      </x:c>
      <x:c r="G21" s="2" t="n">
        <x:v>4</x:v>
      </x:c>
      <x:c r="H21" s="2" t="n">
        <x:v>2</x:v>
      </x:c>
      <x:c r="I21" s="2" t="n">
        <x:v>2</x:v>
      </x:c>
      <x:c r="J21" s="2" t="n">
        <x:v>3</x:v>
      </x:c>
      <x:c r="K21" s="2" t="n">
        <x:v>4</x:v>
      </x:c>
      <x:c r="L21" s="2" t="n">
        <x:v>1</x:v>
      </x:c>
      <x:c r="M21" s="2" t="n">
        <x:v>2</x:v>
      </x:c>
      <x:c r="N21" s="2" t="n">
        <x:v>3</x:v>
      </x:c>
      <x:c r="O21" s="2" t="n">
        <x:v>1</x:v>
      </x:c>
      <x:c r="P21" s="2" t="n">
        <x:v>1</x:v>
      </x:c>
      <x:c r="Q21" s="2" t="n">
        <x:v>2</x:v>
      </x:c>
      <x:c r="R21" s="2" t="n">
        <x:v>4</x:v>
      </x:c>
      <x:c r="S21" s="2" t="n">
        <x:v>4</x:v>
      </x:c>
      <x:c r="T21" s="2" t="n">
        <x:v>1</x:v>
      </x:c>
      <x:c r="U21" s="2" t="n">
        <x:v>2</x:v>
      </x:c>
      <x:c r="V21" s="2" t="n">
        <x:v>3</x:v>
      </x:c>
      <x:c r="W21" s="2" t="n">
        <x:v>4</x:v>
      </x:c>
      <x:c r="X21" s="2" t="n">
        <x:v>1</x:v>
      </x:c>
      <x:c r="Y21" s="2" t="n">
        <x:v>3</x:v>
      </x:c>
      <x:c r="Z21" s="2" t="n">
        <x:v>3</x:v>
      </x:c>
      <x:c r="AA21" s="2" t="n">
        <x:v>4</x:v>
      </x:c>
      <x:c r="AB21" s="2" t="n">
        <x:v>2</x:v>
      </x:c>
      <x:c r="AC21" s="2" t="n">
        <x:v>2</x:v>
      </x:c>
      <x:c r="AD21" s="2" t="n">
        <x:v>3</x:v>
      </x:c>
      <x:c r="AE21" s="2" t="n">
        <x:v>4</x:v>
      </x:c>
      <x:c r="AF21" s="2" t="n">
        <x:v>1</x:v>
      </x:c>
      <x:c r="AG21" s="2" t="n">
        <x:v>2</x:v>
      </x:c>
      <x:c r="AH21" s="2" t="n">
        <x:v>3</x:v>
      </x:c>
      <x:c r="AI21" s="2" t="n">
        <x:v>1</x:v>
      </x:c>
      <x:c r="AJ21" s="2" t="n">
        <x:v>1</x:v>
      </x:c>
      <x:c r="AK21" s="2" t="n">
        <x:v>2</x:v>
      </x:c>
      <x:c r="AL21" s="2" t="n">
        <x:v>4</x:v>
      </x:c>
      <x:c r="AM21" s="2" t="n">
        <x:v>4</x:v>
      </x:c>
      <x:c r="AN21" s="2" t="n">
        <x:v>1</x:v>
      </x:c>
      <x:c r="AO21" s="2" t="n">
        <x:v>2</x:v>
      </x:c>
      <x:c r="AP21" s="2" t="n">
        <x:v>3</x:v>
      </x:c>
      <x:c r="AQ21" s="2" t="n">
        <x:v>4</x:v>
      </x:c>
      <x:c r="AR21" s="2" t="n">
        <x:f>IF(OR(AT21="채점 완료",AT21="미응답 포함"),AX21,"채점 보류")</x:f>
        <x:v>32</x:v>
      </x:c>
      <x:c r="AS21" s="2" t="n">
        <x:f>IF(ISNUMBER(AR21),1+COUNTIFS($AR$10:$AR$37,"&gt;"&amp;AR21),"순위 제외")</x:f>
        <x:v>1</x:v>
      </x:c>
      <x:c r="AT21" s="2" t="str">
        <x:f>IF(OR(A21="",COUNTIFS($A$10:$A$37,A21)&lt;&gt;1),"ID 확인",IF(C21="결시","결시",IF(C21&lt;&gt;"응시","응시 상태 확인",IF(COUNTIFS('채점내역'!D19:AQ19,"정답 미등록")&gt;0,"정답 확인",IF(AV21&gt;0,"입력 오류",IF(AU21&gt;0,"미응답 포함","채점 완료"))))))</x:f>
        <x:v>채점 완료</x:v>
      </x:c>
      <x:c r="AU21" s="2" t="n">
        <x:f>COUNTIFS('채점내역'!D19:AQ19,"미응답")</x:f>
        <x:v>0</x:v>
      </x:c>
      <x:c r="AV21" s="2" t="n">
        <x:f>COUNTIFS('채점내역'!D19:AQ19,"잘못된 입력")</x:f>
        <x:v>0</x:v>
      </x:c>
      <x:c r="AW21" s="2" t="n">
        <x:f>COUNTIFS('채점내역'!D19:AQ19,"오답")</x:f>
        <x:v>8</x:v>
      </x:c>
      <x:c r="AX21" s="2" t="n">
        <x:f>COUNTIFS('채점내역'!D19:AQ19,"정답")</x:f>
        <x:v>32</x:v>
      </x:c>
    </x:row>
    <x:row r="22" ht="25" customHeight="1">
      <x:c r="A22" s="2" t="str">
        <x:v>S013</x:v>
      </x:c>
      <x:c r="B22" s="2" t="str"/>
      <x:c r="C22" s="2" t="str">
        <x:v>응시</x:v>
      </x:c>
      <x:c r="D22" s="2" t="n">
        <x:v>1</x:v>
      </x:c>
      <x:c r="E22" s="2" t="n">
        <x:v>3</x:v>
      </x:c>
      <x:c r="F22" s="2" t="n">
        <x:v>4</x:v>
      </x:c>
      <x:c r="G22" s="2" t="n">
        <x:v>4</x:v>
      </x:c>
      <x:c r="H22" s="2" t="n">
        <x:v>1</x:v>
      </x:c>
      <x:c r="I22" s="2" t="n">
        <x:v>3</x:v>
      </x:c>
      <x:c r="J22" s="2" t="n">
        <x:v>3</x:v>
      </x:c>
      <x:c r="K22" s="2" t="n">
        <x:v>4</x:v>
      </x:c>
      <x:c r="L22" s="2" t="n">
        <x:v>2</x:v>
      </x:c>
      <x:c r="M22" s="2" t="n">
        <x:v>3</x:v>
      </x:c>
      <x:c r="N22" s="2" t="n">
        <x:v>3</x:v>
      </x:c>
      <x:c r="O22" s="2" t="n">
        <x:v>1</x:v>
      </x:c>
      <x:c r="P22" s="2" t="n">
        <x:v>2</x:v>
      </x:c>
      <x:c r="Q22" s="2" t="n">
        <x:v>2</x:v>
      </x:c>
      <x:c r="R22" s="2" t="n">
        <x:v>3</x:v>
      </x:c>
      <x:c r="S22" s="2" t="n">
        <x:v>1</x:v>
      </x:c>
      <x:c r="T22" s="2" t="n">
        <x:v>1</x:v>
      </x:c>
      <x:c r="U22" s="2" t="n">
        <x:v>2</x:v>
      </x:c>
      <x:c r="V22" s="2" t="n">
        <x:v>4</x:v>
      </x:c>
      <x:c r="W22" s="2" t="n">
        <x:v>1</x:v>
      </x:c>
      <x:c r="X22" s="2" t="n">
        <x:v>1</x:v>
      </x:c>
      <x:c r="Y22" s="2" t="n">
        <x:v>3</x:v>
      </x:c>
      <x:c r="Z22" s="2" t="n">
        <x:v>4</x:v>
      </x:c>
      <x:c r="AA22" s="2" t="n">
        <x:v>4</x:v>
      </x:c>
      <x:c r="AB22" s="2" t="n">
        <x:v>1</x:v>
      </x:c>
      <x:c r="AC22" s="2" t="n">
        <x:v>3</x:v>
      </x:c>
      <x:c r="AD22" s="2" t="n">
        <x:v>3</x:v>
      </x:c>
      <x:c r="AE22" s="2" t="n">
        <x:v>4</x:v>
      </x:c>
      <x:c r="AF22" s="2" t="n">
        <x:v>2</x:v>
      </x:c>
      <x:c r="AG22" s="2" t="n">
        <x:v>3</x:v>
      </x:c>
      <x:c r="AH22" s="2" t="n">
        <x:v>3</x:v>
      </x:c>
      <x:c r="AI22" s="2" t="n">
        <x:v>1</x:v>
      </x:c>
      <x:c r="AJ22" s="2" t="n">
        <x:v>2</x:v>
      </x:c>
      <x:c r="AK22" s="2" t="n">
        <x:v>2</x:v>
      </x:c>
      <x:c r="AL22" s="2" t="n">
        <x:v>3</x:v>
      </x:c>
      <x:c r="AM22" s="2" t="n">
        <x:v>1</x:v>
      </x:c>
      <x:c r="AN22" s="2" t="n">
        <x:v>1</x:v>
      </x:c>
      <x:c r="AO22" s="2" t="n">
        <x:v>2</x:v>
      </x:c>
      <x:c r="AP22" s="2" t="n">
        <x:v>4</x:v>
      </x:c>
      <x:c r="AQ22" s="2" t="n">
        <x:v>1</x:v>
      </x:c>
      <x:c r="AR22" s="2" t="n">
        <x:f>IF(OR(AT22="채점 완료",AT22="미응답 포함"),AX22,"채점 보류")</x:f>
        <x:v>20</x:v>
      </x:c>
      <x:c r="AS22" s="2" t="n">
        <x:f>IF(ISNUMBER(AR22),1+COUNTIFS($AR$10:$AR$37,"&gt;"&amp;AR22),"순위 제외")</x:f>
        <x:v>19</x:v>
      </x:c>
      <x:c r="AT22" s="2" t="str">
        <x:f>IF(OR(A22="",COUNTIFS($A$10:$A$37,A22)&lt;&gt;1),"ID 확인",IF(C22="결시","결시",IF(C22&lt;&gt;"응시","응시 상태 확인",IF(COUNTIFS('채점내역'!D20:AQ20,"정답 미등록")&gt;0,"정답 확인",IF(AV22&gt;0,"입력 오류",IF(AU22&gt;0,"미응답 포함","채점 완료"))))))</x:f>
        <x:v>채점 완료</x:v>
      </x:c>
      <x:c r="AU22" s="2" t="n">
        <x:f>COUNTIFS('채점내역'!D20:AQ20,"미응답")</x:f>
        <x:v>0</x:v>
      </x:c>
      <x:c r="AV22" s="2" t="n">
        <x:f>COUNTIFS('채점내역'!D20:AQ20,"잘못된 입력")</x:f>
        <x:v>0</x:v>
      </x:c>
      <x:c r="AW22" s="2" t="n">
        <x:f>COUNTIFS('채점내역'!D20:AQ20,"오답")</x:f>
        <x:v>20</x:v>
      </x:c>
      <x:c r="AX22" s="2" t="n">
        <x:f>COUNTIFS('채점내역'!D20:AQ20,"정답")</x:f>
        <x:v>20</x:v>
      </x:c>
    </x:row>
    <x:row r="23" ht="25" customHeight="1">
      <x:c r="A23" s="2" t="str">
        <x:v>S014</x:v>
      </x:c>
      <x:c r="B23" s="2" t="str"/>
      <x:c r="C23" s="2" t="str">
        <x:v>응시</x:v>
      </x:c>
      <x:c r="D23" s="2" t="n">
        <x:v>1</x:v>
      </x:c>
      <x:c r="E23" s="2" t="n">
        <x:v>2</x:v>
      </x:c>
      <x:c r="F23" s="2" t="n">
        <x:v>4</x:v>
      </x:c>
      <x:c r="G23" s="2" t="n">
        <x:v>4</x:v>
      </x:c>
      <x:c r="H23" s="2" t="n">
        <x:v>1</x:v>
      </x:c>
      <x:c r="I23" s="2" t="n">
        <x:v>3</x:v>
      </x:c>
      <x:c r="J23" s="2" t="n">
        <x:v>3</x:v>
      </x:c>
      <x:c r="K23" s="2" t="n">
        <x:v>4</x:v>
      </x:c>
      <x:c r="L23" s="2" t="n">
        <x:v>2</x:v>
      </x:c>
      <x:c r="M23" s="2" t="n">
        <x:v>3</x:v>
      </x:c>
      <x:c r="N23" s="2" t="n">
        <x:v>3</x:v>
      </x:c>
      <x:c r="O23" s="2" t="n">
        <x:v>4</x:v>
      </x:c>
      <x:c r="P23" s="2" t="n">
        <x:v>2</x:v>
      </x:c>
      <x:c r="Q23" s="2" t="n">
        <x:v>2</x:v>
      </x:c>
      <x:c r="R23" s="2" t="n">
        <x:v>3</x:v>
      </x:c>
      <x:c r="S23" s="2" t="n">
        <x:v>1</x:v>
      </x:c>
      <x:c r="T23" s="2" t="n">
        <x:v>1</x:v>
      </x:c>
      <x:c r="U23" s="2" t="n">
        <x:v>2</x:v>
      </x:c>
      <x:c r="V23" s="2" t="n">
        <x:v>4</x:v>
      </x:c>
      <x:c r="W23" s="2" t="n">
        <x:v>1</x:v>
      </x:c>
      <x:c r="X23" s="2" t="n">
        <x:v>1</x:v>
      </x:c>
      <x:c r="Y23" s="2" t="n">
        <x:v>2</x:v>
      </x:c>
      <x:c r="Z23" s="2" t="n">
        <x:v>4</x:v>
      </x:c>
      <x:c r="AA23" s="2" t="n">
        <x:v>4</x:v>
      </x:c>
      <x:c r="AB23" s="2" t="n">
        <x:v>1</x:v>
      </x:c>
      <x:c r="AC23" s="2" t="n">
        <x:v>3</x:v>
      </x:c>
      <x:c r="AD23" s="2" t="n">
        <x:v>3</x:v>
      </x:c>
      <x:c r="AE23" s="2" t="n">
        <x:v>4</x:v>
      </x:c>
      <x:c r="AF23" s="2" t="n">
        <x:v>2</x:v>
      </x:c>
      <x:c r="AG23" s="2" t="n">
        <x:v>3</x:v>
      </x:c>
      <x:c r="AH23" s="2" t="n">
        <x:v>3</x:v>
      </x:c>
      <x:c r="AI23" s="2" t="n">
        <x:v>4</x:v>
      </x:c>
      <x:c r="AJ23" s="2" t="n">
        <x:v>2</x:v>
      </x:c>
      <x:c r="AK23" s="2" t="n">
        <x:v>2</x:v>
      </x:c>
      <x:c r="AL23" s="2" t="n">
        <x:v>3</x:v>
      </x:c>
      <x:c r="AM23" s="2" t="n">
        <x:v>1</x:v>
      </x:c>
      <x:c r="AN23" s="2" t="n">
        <x:v>1</x:v>
      </x:c>
      <x:c r="AO23" s="2" t="n">
        <x:v>2</x:v>
      </x:c>
      <x:c r="AP23" s="2" t="n">
        <x:v>4</x:v>
      </x:c>
      <x:c r="AQ23" s="2" t="n">
        <x:v>1</x:v>
      </x:c>
      <x:c r="AR23" s="2" t="n">
        <x:f>IF(OR(AT23="채점 완료",AT23="미응답 포함"),AX23,"채점 보류")</x:f>
        <x:v>24</x:v>
      </x:c>
      <x:c r="AS23" s="2" t="n">
        <x:f>IF(ISNUMBER(AR23),1+COUNTIFS($AR$10:$AR$37,"&gt;"&amp;AR23),"순위 제외")</x:f>
        <x:v>13</x:v>
      </x:c>
      <x:c r="AT23" s="2" t="str">
        <x:f>IF(OR(A23="",COUNTIFS($A$10:$A$37,A23)&lt;&gt;1),"ID 확인",IF(C23="결시","결시",IF(C23&lt;&gt;"응시","응시 상태 확인",IF(COUNTIFS('채점내역'!D21:AQ21,"정답 미등록")&gt;0,"정답 확인",IF(AV23&gt;0,"입력 오류",IF(AU23&gt;0,"미응답 포함","채점 완료"))))))</x:f>
        <x:v>채점 완료</x:v>
      </x:c>
      <x:c r="AU23" s="2" t="n">
        <x:f>COUNTIFS('채점내역'!D21:AQ21,"미응답")</x:f>
        <x:v>0</x:v>
      </x:c>
      <x:c r="AV23" s="2" t="n">
        <x:f>COUNTIFS('채점내역'!D21:AQ21,"잘못된 입력")</x:f>
        <x:v>0</x:v>
      </x:c>
      <x:c r="AW23" s="2" t="n">
        <x:f>COUNTIFS('채점내역'!D21:AQ21,"오답")</x:f>
        <x:v>16</x:v>
      </x:c>
      <x:c r="AX23" s="2" t="n">
        <x:f>COUNTIFS('채점내역'!D21:AQ21,"정답")</x:f>
        <x:v>24</x:v>
      </x:c>
    </x:row>
    <x:row r="24" ht="25" customHeight="1">
      <x:c r="A24" s="2" t="str">
        <x:v>S015</x:v>
      </x:c>
      <x:c r="B24" s="2" t="str"/>
      <x:c r="C24" s="2" t="str">
        <x:v>응시</x:v>
      </x:c>
      <x:c r="D24" s="2" t="n">
        <x:v>1</x:v>
      </x:c>
      <x:c r="E24" s="2" t="n">
        <x:v>2</x:v>
      </x:c>
      <x:c r="F24" s="2" t="n">
        <x:v>4</x:v>
      </x:c>
      <x:c r="G24" s="2" t="n">
        <x:v>4</x:v>
      </x:c>
      <x:c r="H24" s="2" t="n">
        <x:v>1</x:v>
      </x:c>
      <x:c r="I24" s="2" t="n">
        <x:v>3</x:v>
      </x:c>
      <x:c r="J24" s="2" t="n">
        <x:v>3</x:v>
      </x:c>
      <x:c r="K24" s="2" t="n">
        <x:v>4</x:v>
      </x:c>
      <x:c r="L24" s="2" t="n">
        <x:v>1</x:v>
      </x:c>
      <x:c r="M24" s="2" t="n">
        <x:v>3</x:v>
      </x:c>
      <x:c r="N24" s="2" t="n">
        <x:v>3</x:v>
      </x:c>
      <x:c r="O24" s="2" t="n">
        <x:v>4</x:v>
      </x:c>
      <x:c r="P24" s="2" t="n">
        <x:v>2</x:v>
      </x:c>
      <x:c r="Q24" s="2" t="n">
        <x:v>2</x:v>
      </x:c>
      <x:c r="R24" s="2" t="n">
        <x:v>3</x:v>
      </x:c>
      <x:c r="S24" s="2" t="n">
        <x:v>1</x:v>
      </x:c>
      <x:c r="T24" s="2" t="n">
        <x:v>1</x:v>
      </x:c>
      <x:c r="U24" s="2" t="n">
        <x:v>2</x:v>
      </x:c>
      <x:c r="V24" s="2" t="n">
        <x:v>3</x:v>
      </x:c>
      <x:c r="W24" s="2" t="n">
        <x:v>1</x:v>
      </x:c>
      <x:c r="X24" s="2" t="n">
        <x:v>1</x:v>
      </x:c>
      <x:c r="Y24" s="2" t="n">
        <x:v>2</x:v>
      </x:c>
      <x:c r="Z24" s="2" t="n">
        <x:v>4</x:v>
      </x:c>
      <x:c r="AA24" s="2" t="n">
        <x:v>4</x:v>
      </x:c>
      <x:c r="AB24" s="2" t="n">
        <x:v>1</x:v>
      </x:c>
      <x:c r="AC24" s="2" t="n">
        <x:v>3</x:v>
      </x:c>
      <x:c r="AD24" s="2" t="n">
        <x:v>3</x:v>
      </x:c>
      <x:c r="AE24" s="2" t="n">
        <x:v>4</x:v>
      </x:c>
      <x:c r="AF24" s="2" t="n">
        <x:v>1</x:v>
      </x:c>
      <x:c r="AG24" s="2" t="n">
        <x:v>3</x:v>
      </x:c>
      <x:c r="AH24" s="2" t="n">
        <x:v>3</x:v>
      </x:c>
      <x:c r="AI24" s="2" t="n">
        <x:v>4</x:v>
      </x:c>
      <x:c r="AJ24" s="2" t="n">
        <x:v>2</x:v>
      </x:c>
      <x:c r="AK24" s="2" t="n">
        <x:v>2</x:v>
      </x:c>
      <x:c r="AL24" s="2" t="n">
        <x:v>3</x:v>
      </x:c>
      <x:c r="AM24" s="2" t="n">
        <x:v>1</x:v>
      </x:c>
      <x:c r="AN24" s="2" t="n">
        <x:v>1</x:v>
      </x:c>
      <x:c r="AO24" s="2" t="n">
        <x:v>2</x:v>
      </x:c>
      <x:c r="AP24" s="2" t="n">
        <x:v>3</x:v>
      </x:c>
      <x:c r="AQ24" s="2" t="n">
        <x:v>1</x:v>
      </x:c>
      <x:c r="AR24" s="2" t="n">
        <x:f>IF(OR(AT24="채점 완료",AT24="미응답 포함"),AX24,"채점 보류")</x:f>
        <x:v>28</x:v>
      </x:c>
      <x:c r="AS24" s="2" t="n">
        <x:f>IF(ISNUMBER(AR24),1+COUNTIFS($AR$10:$AR$37,"&gt;"&amp;AR24),"순위 제외")</x:f>
        <x:v>7</x:v>
      </x:c>
      <x:c r="AT24" s="2" t="str">
        <x:f>IF(OR(A24="",COUNTIFS($A$10:$A$37,A24)&lt;&gt;1),"ID 확인",IF(C24="결시","결시",IF(C24&lt;&gt;"응시","응시 상태 확인",IF(COUNTIFS('채점내역'!D22:AQ22,"정답 미등록")&gt;0,"정답 확인",IF(AV24&gt;0,"입력 오류",IF(AU24&gt;0,"미응답 포함","채점 완료"))))))</x:f>
        <x:v>채점 완료</x:v>
      </x:c>
      <x:c r="AU24" s="2" t="n">
        <x:f>COUNTIFS('채점내역'!D22:AQ22,"미응답")</x:f>
        <x:v>0</x:v>
      </x:c>
      <x:c r="AV24" s="2" t="n">
        <x:f>COUNTIFS('채점내역'!D22:AQ22,"잘못된 입력")</x:f>
        <x:v>0</x:v>
      </x:c>
      <x:c r="AW24" s="2" t="n">
        <x:f>COUNTIFS('채점내역'!D22:AQ22,"오답")</x:f>
        <x:v>12</x:v>
      </x:c>
      <x:c r="AX24" s="2" t="n">
        <x:f>COUNTIFS('채점내역'!D22:AQ22,"정답")</x:f>
        <x:v>28</x:v>
      </x:c>
    </x:row>
    <x:row r="25" ht="25" customHeight="1">
      <x:c r="A25" s="2" t="str">
        <x:v>S016</x:v>
      </x:c>
      <x:c r="B25" s="2" t="str"/>
      <x:c r="C25" s="2" t="str">
        <x:v>응시</x:v>
      </x:c>
      <x:c r="D25" s="2" t="n">
        <x:v>1</x:v>
      </x:c>
      <x:c r="E25" s="2" t="n">
        <x:v>2</x:v>
      </x:c>
      <x:c r="F25" s="2" t="n">
        <x:v>4</x:v>
      </x:c>
      <x:c r="G25" s="2" t="n">
        <x:v>4</x:v>
      </x:c>
      <x:c r="H25" s="2" t="n">
        <x:v>1</x:v>
      </x:c>
      <x:c r="I25" s="2" t="n">
        <x:v>2</x:v>
      </x:c>
      <x:c r="J25" s="2" t="n">
        <x:v>3</x:v>
      </x:c>
      <x:c r="K25" s="2" t="n">
        <x:v>4</x:v>
      </x:c>
      <x:c r="L25" s="2" t="n">
        <x:v>1</x:v>
      </x:c>
      <x:c r="M25" s="2" t="n">
        <x:v>3</x:v>
      </x:c>
      <x:c r="N25" s="2" t="n">
        <x:v>3</x:v>
      </x:c>
      <x:c r="O25" s="2" t="n">
        <x:v>4</x:v>
      </x:c>
      <x:c r="P25" s="2" t="n">
        <x:v>2</x:v>
      </x:c>
      <x:c r="Q25" s="2" t="n">
        <x:v>2</x:v>
      </x:c>
      <x:c r="R25" s="2" t="n">
        <x:v>3</x:v>
      </x:c>
      <x:c r="S25" s="2" t="n">
        <x:v>4</x:v>
      </x:c>
      <x:c r="T25" s="2" t="n">
        <x:v>1</x:v>
      </x:c>
      <x:c r="U25" s="2" t="n">
        <x:v>2</x:v>
      </x:c>
      <x:c r="V25" s="2" t="n">
        <x:v>3</x:v>
      </x:c>
      <x:c r="W25" s="2" t="n">
        <x:v>1</x:v>
      </x:c>
      <x:c r="X25" s="2" t="n">
        <x:v>1</x:v>
      </x:c>
      <x:c r="Y25" s="2" t="n">
        <x:v>2</x:v>
      </x:c>
      <x:c r="Z25" s="2" t="n">
        <x:v>4</x:v>
      </x:c>
      <x:c r="AA25" s="2" t="n">
        <x:v>4</x:v>
      </x:c>
      <x:c r="AB25" s="2" t="n">
        <x:v>1</x:v>
      </x:c>
      <x:c r="AC25" s="2" t="n">
        <x:v>2</x:v>
      </x:c>
      <x:c r="AD25" s="2" t="n">
        <x:v>3</x:v>
      </x:c>
      <x:c r="AE25" s="2" t="n">
        <x:v>4</x:v>
      </x:c>
      <x:c r="AF25" s="2" t="n">
        <x:v>1</x:v>
      </x:c>
      <x:c r="AG25" s="2" t="n">
        <x:v>3</x:v>
      </x:c>
      <x:c r="AH25" s="2" t="n">
        <x:v>3</x:v>
      </x:c>
      <x:c r="AI25" s="2" t="n">
        <x:v>4</x:v>
      </x:c>
      <x:c r="AJ25" s="2" t="n">
        <x:v>2</x:v>
      </x:c>
      <x:c r="AK25" s="2" t="n">
        <x:v>2</x:v>
      </x:c>
      <x:c r="AL25" s="2" t="n">
        <x:v>3</x:v>
      </x:c>
      <x:c r="AM25" s="2" t="n">
        <x:v>4</x:v>
      </x:c>
      <x:c r="AN25" s="2" t="n">
        <x:v>1</x:v>
      </x:c>
      <x:c r="AO25" s="2" t="n">
        <x:v>2</x:v>
      </x:c>
      <x:c r="AP25" s="2" t="n">
        <x:v>3</x:v>
      </x:c>
      <x:c r="AQ25" s="2" t="n">
        <x:v>1</x:v>
      </x:c>
      <x:c r="AR25" s="2" t="n">
        <x:f>IF(OR(AT25="채점 완료",AT25="미응답 포함"),AX25,"채점 보류")</x:f>
        <x:v>32</x:v>
      </x:c>
      <x:c r="AS25" s="2" t="n">
        <x:f>IF(ISNUMBER(AR25),1+COUNTIFS($AR$10:$AR$37,"&gt;"&amp;AR25),"순위 제외")</x:f>
        <x:v>1</x:v>
      </x:c>
      <x:c r="AT25" s="2" t="str">
        <x:f>IF(OR(A25="",COUNTIFS($A$10:$A$37,A25)&lt;&gt;1),"ID 확인",IF(C25="결시","결시",IF(C25&lt;&gt;"응시","응시 상태 확인",IF(COUNTIFS('채점내역'!D23:AQ23,"정답 미등록")&gt;0,"정답 확인",IF(AV25&gt;0,"입력 오류",IF(AU25&gt;0,"미응답 포함","채점 완료"))))))</x:f>
        <x:v>채점 완료</x:v>
      </x:c>
      <x:c r="AU25" s="2" t="n">
        <x:f>COUNTIFS('채점내역'!D23:AQ23,"미응답")</x:f>
        <x:v>0</x:v>
      </x:c>
      <x:c r="AV25" s="2" t="n">
        <x:f>COUNTIFS('채점내역'!D23:AQ23,"잘못된 입력")</x:f>
        <x:v>0</x:v>
      </x:c>
      <x:c r="AW25" s="2" t="n">
        <x:f>COUNTIFS('채점내역'!D23:AQ23,"오답")</x:f>
        <x:v>8</x:v>
      </x:c>
      <x:c r="AX25" s="2" t="n">
        <x:f>COUNTIFS('채점내역'!D23:AQ23,"정답")</x:f>
        <x:v>32</x:v>
      </x:c>
    </x:row>
    <x:row r="26" ht="25" customHeight="1">
      <x:c r="A26" s="2" t="str">
        <x:v>S017</x:v>
      </x:c>
      <x:c r="B26" s="2" t="str"/>
      <x:c r="C26" s="2" t="str">
        <x:v>응시</x:v>
      </x:c>
      <x:c r="D26" s="2" t="n">
        <x:v>2</x:v>
      </x:c>
      <x:c r="E26" s="2" t="n">
        <x:v>2</x:v>
      </x:c>
      <x:c r="F26" s="2" t="n">
        <x:v>3</x:v>
      </x:c>
      <x:c r="G26" s="2" t="n">
        <x:v>1</x:v>
      </x:c>
      <x:c r="H26" s="2" t="n">
        <x:v>1</x:v>
      </x:c>
      <x:c r="I26" s="2" t="n">
        <x:v>2</x:v>
      </x:c>
      <x:c r="J26" s="2" t="n">
        <x:v>4</x:v>
      </x:c>
      <x:c r="K26" s="2" t="n">
        <x:v>1</x:v>
      </x:c>
      <x:c r="L26" s="2" t="n">
        <x:v>1</x:v>
      </x:c>
      <x:c r="M26" s="2" t="n">
        <x:v>3</x:v>
      </x:c>
      <x:c r="N26" s="2" t="n">
        <x:v>4</x:v>
      </x:c>
      <x:c r="O26" s="2" t="n">
        <x:v>4</x:v>
      </x:c>
      <x:c r="P26" s="2" t="n">
        <x:v>1</x:v>
      </x:c>
      <x:c r="Q26" s="2" t="n">
        <x:v>3</x:v>
      </x:c>
      <x:c r="R26" s="2" t="n">
        <x:v>3</x:v>
      </x:c>
      <x:c r="S26" s="2" t="n">
        <x:v>4</x:v>
      </x:c>
      <x:c r="T26" s="2" t="n">
        <x:v>2</x:v>
      </x:c>
      <x:c r="U26" s="2" t="n">
        <x:v>3</x:v>
      </x:c>
      <x:c r="V26" s="2" t="n">
        <x:v>3</x:v>
      </x:c>
      <x:c r="W26" s="2" t="n">
        <x:v>1</x:v>
      </x:c>
      <x:c r="X26" s="2" t="n">
        <x:v>2</x:v>
      </x:c>
      <x:c r="Y26" s="2" t="n">
        <x:v>2</x:v>
      </x:c>
      <x:c r="Z26" s="2" t="n">
        <x:v>3</x:v>
      </x:c>
      <x:c r="AA26" s="2" t="n">
        <x:v>1</x:v>
      </x:c>
      <x:c r="AB26" s="2" t="n">
        <x:v>1</x:v>
      </x:c>
      <x:c r="AC26" s="2" t="n">
        <x:v>2</x:v>
      </x:c>
      <x:c r="AD26" s="2" t="n">
        <x:v>4</x:v>
      </x:c>
      <x:c r="AE26" s="2" t="n">
        <x:v>1</x:v>
      </x:c>
      <x:c r="AF26" s="2" t="n">
        <x:v>1</x:v>
      </x:c>
      <x:c r="AG26" s="2" t="n">
        <x:v>3</x:v>
      </x:c>
      <x:c r="AH26" s="2" t="n">
        <x:v>4</x:v>
      </x:c>
      <x:c r="AI26" s="2" t="n">
        <x:v>4</x:v>
      </x:c>
      <x:c r="AJ26" s="2" t="n">
        <x:v>1</x:v>
      </x:c>
      <x:c r="AK26" s="2" t="n">
        <x:v>3</x:v>
      </x:c>
      <x:c r="AL26" s="2" t="n">
        <x:v>3</x:v>
      </x:c>
      <x:c r="AM26" s="2" t="n">
        <x:v>4</x:v>
      </x:c>
      <x:c r="AN26" s="2" t="n">
        <x:v>2</x:v>
      </x:c>
      <x:c r="AO26" s="2" t="n">
        <x:v>3</x:v>
      </x:c>
      <x:c r="AP26" s="2" t="n">
        <x:v>3</x:v>
      </x:c>
      <x:c r="AQ26" s="2" t="n">
        <x:v>1</x:v>
      </x:c>
      <x:c r="AR26" s="2" t="n">
        <x:f>IF(OR(AT26="채점 완료",AT26="미응답 포함"),AX26,"채점 보류")</x:f>
        <x:v>20</x:v>
      </x:c>
      <x:c r="AS26" s="2" t="n">
        <x:f>IF(ISNUMBER(AR26),1+COUNTIFS($AR$10:$AR$37,"&gt;"&amp;AR26),"순위 제외")</x:f>
        <x:v>19</x:v>
      </x:c>
      <x:c r="AT26" s="2" t="str">
        <x:f>IF(OR(A26="",COUNTIFS($A$10:$A$37,A26)&lt;&gt;1),"ID 확인",IF(C26="결시","결시",IF(C26&lt;&gt;"응시","응시 상태 확인",IF(COUNTIFS('채점내역'!D24:AQ24,"정답 미등록")&gt;0,"정답 확인",IF(AV26&gt;0,"입력 오류",IF(AU26&gt;0,"미응답 포함","채점 완료"))))))</x:f>
        <x:v>채점 완료</x:v>
      </x:c>
      <x:c r="AU26" s="2" t="n">
        <x:f>COUNTIFS('채점내역'!D24:AQ24,"미응답")</x:f>
        <x:v>0</x:v>
      </x:c>
      <x:c r="AV26" s="2" t="n">
        <x:f>COUNTIFS('채점내역'!D24:AQ24,"잘못된 입력")</x:f>
        <x:v>0</x:v>
      </x:c>
      <x:c r="AW26" s="2" t="n">
        <x:f>COUNTIFS('채점내역'!D24:AQ24,"오답")</x:f>
        <x:v>20</x:v>
      </x:c>
      <x:c r="AX26" s="2" t="n">
        <x:f>COUNTIFS('채점내역'!D24:AQ24,"정답")</x:f>
        <x:v>20</x:v>
      </x:c>
    </x:row>
    <x:row r="27" ht="25" customHeight="1">
      <x:c r="A27" s="2" t="str">
        <x:v>S018</x:v>
      </x:c>
      <x:c r="B27" s="2" t="str"/>
      <x:c r="C27" s="2" t="str">
        <x:v>응시</x:v>
      </x:c>
      <x:c r="D27" s="2" t="n">
        <x:v>2</x:v>
      </x:c>
      <x:c r="E27" s="2" t="n">
        <x:v>2</x:v>
      </x:c>
      <x:c r="F27" s="2" t="n">
        <x:v>3</x:v>
      </x:c>
      <x:c r="G27" s="2" t="n">
        <x:v>1</x:v>
      </x:c>
      <x:c r="H27" s="2" t="n">
        <x:v>1</x:v>
      </x:c>
      <x:c r="I27" s="2" t="n">
        <x:v>2</x:v>
      </x:c>
      <x:c r="J27" s="2" t="n">
        <x:v>4</x:v>
      </x:c>
      <x:c r="K27" s="2" t="n">
        <x:v>1</x:v>
      </x:c>
      <x:c r="L27" s="2" t="n">
        <x:v>1</x:v>
      </x:c>
      <x:c r="M27" s="2" t="n">
        <x:v>2</x:v>
      </x:c>
      <x:c r="N27" s="2" t="n">
        <x:v>4</x:v>
      </x:c>
      <x:c r="O27" s="2" t="n">
        <x:v>4</x:v>
      </x:c>
      <x:c r="P27" s="2" t="n">
        <x:v>1</x:v>
      </x:c>
      <x:c r="Q27" s="2" t="n">
        <x:v>3</x:v>
      </x:c>
      <x:c r="R27" s="2" t="n">
        <x:v>3</x:v>
      </x:c>
      <x:c r="S27" s="2" t="n">
        <x:v>4</x:v>
      </x:c>
      <x:c r="T27" s="2" t="n">
        <x:v>2</x:v>
      </x:c>
      <x:c r="U27" s="2" t="n">
        <x:v>3</x:v>
      </x:c>
      <x:c r="V27" s="2" t="n">
        <x:v>3</x:v>
      </x:c>
      <x:c r="W27" s="2" t="n">
        <x:v>4</x:v>
      </x:c>
      <x:c r="X27" s="2" t="n">
        <x:v>2</x:v>
      </x:c>
      <x:c r="Y27" s="2" t="n">
        <x:v>2</x:v>
      </x:c>
      <x:c r="Z27" s="2" t="n">
        <x:v>3</x:v>
      </x:c>
      <x:c r="AA27" s="2" t="n">
        <x:v>1</x:v>
      </x:c>
      <x:c r="AB27" s="2" t="n">
        <x:v>1</x:v>
      </x:c>
      <x:c r="AC27" s="2" t="n">
        <x:v>2</x:v>
      </x:c>
      <x:c r="AD27" s="2" t="n">
        <x:v>4</x:v>
      </x:c>
      <x:c r="AE27" s="2" t="n">
        <x:v>1</x:v>
      </x:c>
      <x:c r="AF27" s="2" t="n">
        <x:v>1</x:v>
      </x:c>
      <x:c r="AG27" s="2" t="n">
        <x:v>2</x:v>
      </x:c>
      <x:c r="AH27" s="2" t="n">
        <x:v>4</x:v>
      </x:c>
      <x:c r="AI27" s="2" t="n">
        <x:v>4</x:v>
      </x:c>
      <x:c r="AJ27" s="2" t="n">
        <x:v>1</x:v>
      </x:c>
      <x:c r="AK27" s="2" t="n">
        <x:v>3</x:v>
      </x:c>
      <x:c r="AL27" s="2" t="n">
        <x:v>3</x:v>
      </x:c>
      <x:c r="AM27" s="2" t="n">
        <x:v>4</x:v>
      </x:c>
      <x:c r="AN27" s="2" t="n">
        <x:v>2</x:v>
      </x:c>
      <x:c r="AO27" s="2" t="n">
        <x:v>3</x:v>
      </x:c>
      <x:c r="AP27" s="2" t="n">
        <x:v>3</x:v>
      </x:c>
      <x:c r="AQ27" s="2" t="n">
        <x:v>4</x:v>
      </x:c>
      <x:c r="AR27" s="2" t="n">
        <x:f>IF(OR(AT27="채점 완료",AT27="미응답 포함"),AX27,"채점 보류")</x:f>
        <x:v>24</x:v>
      </x:c>
      <x:c r="AS27" s="2" t="n">
        <x:f>IF(ISNUMBER(AR27),1+COUNTIFS($AR$10:$AR$37,"&gt;"&amp;AR27),"순위 제외")</x:f>
        <x:v>13</x:v>
      </x:c>
      <x:c r="AT27" s="2" t="str">
        <x:f>IF(OR(A27="",COUNTIFS($A$10:$A$37,A27)&lt;&gt;1),"ID 확인",IF(C27="결시","결시",IF(C27&lt;&gt;"응시","응시 상태 확인",IF(COUNTIFS('채점내역'!D25:AQ25,"정답 미등록")&gt;0,"정답 확인",IF(AV27&gt;0,"입력 오류",IF(AU27&gt;0,"미응답 포함","채점 완료"))))))</x:f>
        <x:v>채점 완료</x:v>
      </x:c>
      <x:c r="AU27" s="2" t="n">
        <x:f>COUNTIFS('채점내역'!D25:AQ25,"미응답")</x:f>
        <x:v>0</x:v>
      </x:c>
      <x:c r="AV27" s="2" t="n">
        <x:f>COUNTIFS('채점내역'!D25:AQ25,"잘못된 입력")</x:f>
        <x:v>0</x:v>
      </x:c>
      <x:c r="AW27" s="2" t="n">
        <x:f>COUNTIFS('채점내역'!D25:AQ25,"오답")</x:f>
        <x:v>16</x:v>
      </x:c>
      <x:c r="AX27" s="2" t="n">
        <x:f>COUNTIFS('채점내역'!D25:AQ25,"정답")</x:f>
        <x:v>24</x:v>
      </x:c>
    </x:row>
    <x:row r="28" ht="25" customHeight="1">
      <x:c r="A28" s="2" t="str">
        <x:v>S019</x:v>
      </x:c>
      <x:c r="B28" s="2" t="str"/>
      <x:c r="C28" s="2" t="str">
        <x:v>응시</x:v>
      </x:c>
      <x:c r="D28" s="2" t="n">
        <x:v>2</x:v>
      </x:c>
      <x:c r="E28" s="2" t="n">
        <x:v>2</x:v>
      </x:c>
      <x:c r="F28" s="2" t="n">
        <x:v>3</x:v>
      </x:c>
      <x:c r="G28" s="2" t="n">
        <x:v>1</x:v>
      </x:c>
      <x:c r="H28" s="2" t="n">
        <x:v>1</x:v>
      </x:c>
      <x:c r="I28" s="2" t="n">
        <x:v>2</x:v>
      </x:c>
      <x:c r="J28" s="2" t="n">
        <x:v>3</x:v>
      </x:c>
      <x:c r="K28" s="2" t="n">
        <x:v>1</x:v>
      </x:c>
      <x:c r="L28" s="2" t="n">
        <x:v>1</x:v>
      </x:c>
      <x:c r="M28" s="2" t="n">
        <x:v>2</x:v>
      </x:c>
      <x:c r="N28" s="2" t="n">
        <x:v>4</x:v>
      </x:c>
      <x:c r="O28" s="2" t="n">
        <x:v>4</x:v>
      </x:c>
      <x:c r="P28" s="2" t="n">
        <x:v>1</x:v>
      </x:c>
      <x:c r="Q28" s="2" t="n">
        <x:v>3</x:v>
      </x:c>
      <x:c r="R28" s="2" t="n">
        <x:v>3</x:v>
      </x:c>
      <x:c r="S28" s="2" t="n">
        <x:v>4</x:v>
      </x:c>
      <x:c r="T28" s="2" t="n">
        <x:v>1</x:v>
      </x:c>
      <x:c r="U28" s="2" t="n">
        <x:v>3</x:v>
      </x:c>
      <x:c r="V28" s="2" t="n">
        <x:v>3</x:v>
      </x:c>
      <x:c r="W28" s="2" t="n">
        <x:v>4</x:v>
      </x:c>
      <x:c r="X28" s="2" t="n">
        <x:v>2</x:v>
      </x:c>
      <x:c r="Y28" s="2" t="n">
        <x:v>2</x:v>
      </x:c>
      <x:c r="Z28" s="2" t="n">
        <x:v>3</x:v>
      </x:c>
      <x:c r="AA28" s="2" t="n">
        <x:v>1</x:v>
      </x:c>
      <x:c r="AB28" s="2" t="n">
        <x:v>1</x:v>
      </x:c>
      <x:c r="AC28" s="2" t="n">
        <x:v>2</x:v>
      </x:c>
      <x:c r="AD28" s="2" t="n">
        <x:v>3</x:v>
      </x:c>
      <x:c r="AE28" s="2" t="n">
        <x:v>1</x:v>
      </x:c>
      <x:c r="AF28" s="2" t="n">
        <x:v>1</x:v>
      </x:c>
      <x:c r="AG28" s="2" t="n">
        <x:v>2</x:v>
      </x:c>
      <x:c r="AH28" s="2" t="n">
        <x:v>4</x:v>
      </x:c>
      <x:c r="AI28" s="2" t="n">
        <x:v>4</x:v>
      </x:c>
      <x:c r="AJ28" s="2" t="n">
        <x:v>1</x:v>
      </x:c>
      <x:c r="AK28" s="2" t="n">
        <x:v>3</x:v>
      </x:c>
      <x:c r="AL28" s="2" t="n">
        <x:v>3</x:v>
      </x:c>
      <x:c r="AM28" s="2" t="n">
        <x:v>4</x:v>
      </x:c>
      <x:c r="AN28" s="2" t="n">
        <x:v>1</x:v>
      </x:c>
      <x:c r="AO28" s="2" t="n">
        <x:v>3</x:v>
      </x:c>
      <x:c r="AP28" s="2" t="n">
        <x:v>3</x:v>
      </x:c>
      <x:c r="AQ28" s="2" t="n">
        <x:v>4</x:v>
      </x:c>
      <x:c r="AR28" s="2" t="n">
        <x:f>IF(OR(AT28="채점 완료",AT28="미응답 포함"),AX28,"채점 보류")</x:f>
        <x:v>28</x:v>
      </x:c>
      <x:c r="AS28" s="2" t="n">
        <x:f>IF(ISNUMBER(AR28),1+COUNTIFS($AR$10:$AR$37,"&gt;"&amp;AR28),"순위 제외")</x:f>
        <x:v>7</x:v>
      </x:c>
      <x:c r="AT28" s="2" t="str">
        <x:f>IF(OR(A28="",COUNTIFS($A$10:$A$37,A28)&lt;&gt;1),"ID 확인",IF(C28="결시","결시",IF(C28&lt;&gt;"응시","응시 상태 확인",IF(COUNTIFS('채점내역'!D26:AQ26,"정답 미등록")&gt;0,"정답 확인",IF(AV28&gt;0,"입력 오류",IF(AU28&gt;0,"미응답 포함","채점 완료"))))))</x:f>
        <x:v>채점 완료</x:v>
      </x:c>
      <x:c r="AU28" s="2" t="n">
        <x:f>COUNTIFS('채점내역'!D26:AQ26,"미응답")</x:f>
        <x:v>0</x:v>
      </x:c>
      <x:c r="AV28" s="2" t="n">
        <x:f>COUNTIFS('채점내역'!D26:AQ26,"잘못된 입력")</x:f>
        <x:v>0</x:v>
      </x:c>
      <x:c r="AW28" s="2" t="n">
        <x:f>COUNTIFS('채점내역'!D26:AQ26,"오답")</x:f>
        <x:v>12</x:v>
      </x:c>
      <x:c r="AX28" s="2" t="n">
        <x:f>COUNTIFS('채점내역'!D26:AQ26,"정답")</x:f>
        <x:v>28</x:v>
      </x:c>
    </x:row>
    <x:row r="29" ht="25" customHeight="1">
      <x:c r="A29" s="2" t="str">
        <x:v>S020</x:v>
      </x:c>
      <x:c r="B29" s="2" t="str"/>
      <x:c r="C29" s="2" t="str">
        <x:v>응시</x:v>
      </x:c>
      <x:c r="D29" s="2" t="n">
        <x:v>2</x:v>
      </x:c>
      <x:c r="E29" s="2" t="n">
        <x:v>2</x:v>
      </x:c>
      <x:c r="F29" s="2" t="n">
        <x:v>3</x:v>
      </x:c>
      <x:c r="G29" s="2" t="n">
        <x:v>4</x:v>
      </x:c>
      <x:c r="H29" s="2" t="n">
        <x:v>1</x:v>
      </x:c>
      <x:c r="I29" s="2" t="n">
        <x:v>2</x:v>
      </x:c>
      <x:c r="J29" s="2" t="n">
        <x:v>3</x:v>
      </x:c>
      <x:c r="K29" s="2" t="n">
        <x:v>1</x:v>
      </x:c>
      <x:c r="L29" s="2" t="n">
        <x:v>1</x:v>
      </x:c>
      <x:c r="M29" s="2" t="n">
        <x:v>2</x:v>
      </x:c>
      <x:c r="N29" s="2" t="n">
        <x:v>4</x:v>
      </x:c>
      <x:c r="O29" s="2" t="n">
        <x:v>4</x:v>
      </x:c>
      <x:c r="P29" s="2" t="n">
        <x:v>1</x:v>
      </x:c>
      <x:c r="Q29" s="2" t="n">
        <x:v>2</x:v>
      </x:c>
      <x:c r="R29" s="2" t="n">
        <x:v>3</x:v>
      </x:c>
      <x:c r="S29" s="2" t="n">
        <x:v>4</x:v>
      </x:c>
      <x:c r="T29" s="2" t="n">
        <x:v>1</x:v>
      </x:c>
      <x:c r="U29" s="2" t="n">
        <x:v>3</x:v>
      </x:c>
      <x:c r="V29" s="2" t="n">
        <x:v>3</x:v>
      </x:c>
      <x:c r="W29" s="2" t="n">
        <x:v>4</x:v>
      </x:c>
      <x:c r="X29" s="2" t="n">
        <x:v>2</x:v>
      </x:c>
      <x:c r="Y29" s="2" t="n">
        <x:v>2</x:v>
      </x:c>
      <x:c r="Z29" s="2" t="n">
        <x:v>3</x:v>
      </x:c>
      <x:c r="AA29" s="2" t="n">
        <x:v>4</x:v>
      </x:c>
      <x:c r="AB29" s="2" t="n">
        <x:v>1</x:v>
      </x:c>
      <x:c r="AC29" s="2" t="n">
        <x:v>2</x:v>
      </x:c>
      <x:c r="AD29" s="2" t="n">
        <x:v>3</x:v>
      </x:c>
      <x:c r="AE29" s="2" t="n">
        <x:v>1</x:v>
      </x:c>
      <x:c r="AF29" s="2" t="n">
        <x:v>1</x:v>
      </x:c>
      <x:c r="AG29" s="2" t="n">
        <x:v>2</x:v>
      </x:c>
      <x:c r="AH29" s="2" t="n">
        <x:v>4</x:v>
      </x:c>
      <x:c r="AI29" s="2" t="n">
        <x:v>4</x:v>
      </x:c>
      <x:c r="AJ29" s="2" t="n">
        <x:v>1</x:v>
      </x:c>
      <x:c r="AK29" s="2" t="n">
        <x:v>2</x:v>
      </x:c>
      <x:c r="AL29" s="2" t="n">
        <x:v>3</x:v>
      </x:c>
      <x:c r="AM29" s="2" t="n">
        <x:v>4</x:v>
      </x:c>
      <x:c r="AN29" s="2" t="n">
        <x:v>1</x:v>
      </x:c>
      <x:c r="AO29" s="2" t="n">
        <x:v>3</x:v>
      </x:c>
      <x:c r="AP29" s="2" t="n">
        <x:v>3</x:v>
      </x:c>
      <x:c r="AQ29" s="2" t="n">
        <x:v>4</x:v>
      </x:c>
      <x:c r="AR29" s="2" t="n">
        <x:f>IF(OR(AT29="채점 완료",AT29="미응답 포함"),AX29,"채점 보류")</x:f>
        <x:v>32</x:v>
      </x:c>
      <x:c r="AS29" s="2" t="n">
        <x:f>IF(ISNUMBER(AR29),1+COUNTIFS($AR$10:$AR$37,"&gt;"&amp;AR29),"순위 제외")</x:f>
        <x:v>1</x:v>
      </x:c>
      <x:c r="AT29" s="2" t="str">
        <x:f>IF(OR(A29="",COUNTIFS($A$10:$A$37,A29)&lt;&gt;1),"ID 확인",IF(C29="결시","결시",IF(C29&lt;&gt;"응시","응시 상태 확인",IF(COUNTIFS('채점내역'!D27:AQ27,"정답 미등록")&gt;0,"정답 확인",IF(AV29&gt;0,"입력 오류",IF(AU29&gt;0,"미응답 포함","채점 완료"))))))</x:f>
        <x:v>채점 완료</x:v>
      </x:c>
      <x:c r="AU29" s="2" t="n">
        <x:f>COUNTIFS('채점내역'!D27:AQ27,"미응답")</x:f>
        <x:v>0</x:v>
      </x:c>
      <x:c r="AV29" s="2" t="n">
        <x:f>COUNTIFS('채점내역'!D27:AQ27,"잘못된 입력")</x:f>
        <x:v>0</x:v>
      </x:c>
      <x:c r="AW29" s="2" t="n">
        <x:f>COUNTIFS('채점내역'!D27:AQ27,"오답")</x:f>
        <x:v>8</x:v>
      </x:c>
      <x:c r="AX29" s="2" t="n">
        <x:f>COUNTIFS('채점내역'!D27:AQ27,"정답")</x:f>
        <x:v>32</x:v>
      </x:c>
    </x:row>
    <x:row r="30" ht="25" customHeight="1">
      <x:c r="A30" s="2" t="str">
        <x:v>S021</x:v>
      </x:c>
      <x:c r="B30" s="2" t="str"/>
      <x:c r="C30" s="2" t="str">
        <x:v>응시</x:v>
      </x:c>
      <x:c r="D30" s="2" t="n">
        <x:v>1</x:v>
      </x:c>
      <x:c r="E30" s="2" t="n">
        <x:v>3</x:v>
      </x:c>
      <x:c r="F30" s="2" t="n">
        <x:v>3</x:v>
      </x:c>
      <x:c r="G30" s="2" t="n">
        <x:v>4</x:v>
      </x:c>
      <x:c r="H30" s="2" t="n">
        <x:v>2</x:v>
      </x:c>
      <x:c r="I30" s="2" t="n">
        <x:v>3</x:v>
      </x:c>
      <x:c r="J30" s="2" t="n">
        <x:v>3</x:v>
      </x:c>
      <x:c r="K30" s="2" t="n">
        <x:v>1</x:v>
      </x:c>
      <x:c r="L30" s="2" t="n">
        <x:v>2</x:v>
      </x:c>
      <x:c r="M30" s="2" t="n">
        <x:v>2</x:v>
      </x:c>
      <x:c r="N30" s="2" t="n">
        <x:v>3</x:v>
      </x:c>
      <x:c r="O30" s="2" t="n">
        <x:v>1</x:v>
      </x:c>
      <x:c r="P30" s="2" t="n">
        <x:v>1</x:v>
      </x:c>
      <x:c r="Q30" s="2" t="n">
        <x:v>2</x:v>
      </x:c>
      <x:c r="R30" s="2" t="n">
        <x:v>4</x:v>
      </x:c>
      <x:c r="S30" s="2" t="n">
        <x:v>1</x:v>
      </x:c>
      <x:c r="T30" s="2" t="n">
        <x:v>1</x:v>
      </x:c>
      <x:c r="U30" s="2" t="n">
        <x:v>3</x:v>
      </x:c>
      <x:c r="V30" s="2" t="n">
        <x:v>4</x:v>
      </x:c>
      <x:c r="W30" s="2" t="n">
        <x:v>4</x:v>
      </x:c>
      <x:c r="X30" s="2" t="n">
        <x:v>1</x:v>
      </x:c>
      <x:c r="Y30" s="2" t="n">
        <x:v>3</x:v>
      </x:c>
      <x:c r="Z30" s="2" t="n">
        <x:v>3</x:v>
      </x:c>
      <x:c r="AA30" s="2" t="n">
        <x:v>4</x:v>
      </x:c>
      <x:c r="AB30" s="2" t="n">
        <x:v>2</x:v>
      </x:c>
      <x:c r="AC30" s="2" t="n">
        <x:v>3</x:v>
      </x:c>
      <x:c r="AD30" s="2" t="n">
        <x:v>3</x:v>
      </x:c>
      <x:c r="AE30" s="2" t="n">
        <x:v>1</x:v>
      </x:c>
      <x:c r="AF30" s="2" t="n">
        <x:v>2</x:v>
      </x:c>
      <x:c r="AG30" s="2" t="n">
        <x:v>2</x:v>
      </x:c>
      <x:c r="AH30" s="2" t="n">
        <x:v>3</x:v>
      </x:c>
      <x:c r="AI30" s="2" t="n">
        <x:v>1</x:v>
      </x:c>
      <x:c r="AJ30" s="2" t="n">
        <x:v>1</x:v>
      </x:c>
      <x:c r="AK30" s="2" t="n">
        <x:v>2</x:v>
      </x:c>
      <x:c r="AL30" s="2" t="n">
        <x:v>4</x:v>
      </x:c>
      <x:c r="AM30" s="2" t="n">
        <x:v>1</x:v>
      </x:c>
      <x:c r="AN30" s="2" t="n">
        <x:v>1</x:v>
      </x:c>
      <x:c r="AO30" s="2" t="n">
        <x:v>3</x:v>
      </x:c>
      <x:c r="AP30" s="2" t="n">
        <x:v>4</x:v>
      </x:c>
      <x:c r="AQ30" s="2" t="n">
        <x:v>4</x:v>
      </x:c>
      <x:c r="AR30" s="2" t="n">
        <x:f>IF(OR(AT30="채점 완료",AT30="미응답 포함"),AX30,"채점 보류")</x:f>
        <x:v>20</x:v>
      </x:c>
      <x:c r="AS30" s="2" t="n">
        <x:f>IF(ISNUMBER(AR30),1+COUNTIFS($AR$10:$AR$37,"&gt;"&amp;AR30),"순위 제외")</x:f>
        <x:v>19</x:v>
      </x:c>
      <x:c r="AT30" s="2" t="str">
        <x:f>IF(OR(A30="",COUNTIFS($A$10:$A$37,A30)&lt;&gt;1),"ID 확인",IF(C30="결시","결시",IF(C30&lt;&gt;"응시","응시 상태 확인",IF(COUNTIFS('채점내역'!D28:AQ28,"정답 미등록")&gt;0,"정답 확인",IF(AV30&gt;0,"입력 오류",IF(AU30&gt;0,"미응답 포함","채점 완료"))))))</x:f>
        <x:v>채점 완료</x:v>
      </x:c>
      <x:c r="AU30" s="2" t="n">
        <x:f>COUNTIFS('채점내역'!D28:AQ28,"미응답")</x:f>
        <x:v>0</x:v>
      </x:c>
      <x:c r="AV30" s="2" t="n">
        <x:f>COUNTIFS('채점내역'!D28:AQ28,"잘못된 입력")</x:f>
        <x:v>0</x:v>
      </x:c>
      <x:c r="AW30" s="2" t="n">
        <x:f>COUNTIFS('채점내역'!D28:AQ28,"오답")</x:f>
        <x:v>20</x:v>
      </x:c>
      <x:c r="AX30" s="2" t="n">
        <x:f>COUNTIFS('채점내역'!D28:AQ28,"정답")</x:f>
        <x:v>20</x:v>
      </x:c>
    </x:row>
    <x:row r="31" ht="25" customHeight="1">
      <x:c r="A31" s="2" t="str">
        <x:v>S022</x:v>
      </x:c>
      <x:c r="B31" s="2" t="str"/>
      <x:c r="C31" s="2" t="str">
        <x:v>응시</x:v>
      </x:c>
      <x:c r="D31" s="2" t="n">
        <x:v>1</x:v>
      </x:c>
      <x:c r="E31" s="2" t="n">
        <x:v>3</x:v>
      </x:c>
      <x:c r="F31" s="2" t="n">
        <x:v>3</x:v>
      </x:c>
      <x:c r="G31" s="2" t="n">
        <x:v>4</x:v>
      </x:c>
      <x:c r="H31" s="2" t="n">
        <x:v>2</x:v>
      </x:c>
      <x:c r="I31" s="2" t="n">
        <x:v>3</x:v>
      </x:c>
      <x:c r="J31" s="2" t="n">
        <x:v>3</x:v>
      </x:c>
      <x:c r="K31" s="2" t="n">
        <x:v>4</x:v>
      </x:c>
      <x:c r="L31" s="2" t="n">
        <x:v>2</x:v>
      </x:c>
      <x:c r="M31" s="2" t="n">
        <x:v>2</x:v>
      </x:c>
      <x:c r="N31" s="2" t="n">
        <x:v>3</x:v>
      </x:c>
      <x:c r="O31" s="2" t="n">
        <x:v>1</x:v>
      </x:c>
      <x:c r="P31" s="2" t="n">
        <x:v>1</x:v>
      </x:c>
      <x:c r="Q31" s="2" t="n">
        <x:v>2</x:v>
      </x:c>
      <x:c r="R31" s="2" t="n">
        <x:v>4</x:v>
      </x:c>
      <x:c r="S31" s="2" t="n">
        <x:v>1</x:v>
      </x:c>
      <x:c r="T31" s="2" t="n">
        <x:v>1</x:v>
      </x:c>
      <x:c r="U31" s="2" t="n">
        <x:v>2</x:v>
      </x:c>
      <x:c r="V31" s="2" t="n">
        <x:v>4</x:v>
      </x:c>
      <x:c r="W31" s="2" t="n">
        <x:v>4</x:v>
      </x:c>
      <x:c r="X31" s="2" t="n">
        <x:v>1</x:v>
      </x:c>
      <x:c r="Y31" s="2" t="n">
        <x:v>3</x:v>
      </x:c>
      <x:c r="Z31" s="2" t="n">
        <x:v>3</x:v>
      </x:c>
      <x:c r="AA31" s="2" t="n">
        <x:v>4</x:v>
      </x:c>
      <x:c r="AB31" s="2" t="n">
        <x:v>2</x:v>
      </x:c>
      <x:c r="AC31" s="2" t="n">
        <x:v>3</x:v>
      </x:c>
      <x:c r="AD31" s="2" t="n">
        <x:v>3</x:v>
      </x:c>
      <x:c r="AE31" s="2" t="n">
        <x:v>4</x:v>
      </x:c>
      <x:c r="AF31" s="2" t="n">
        <x:v>2</x:v>
      </x:c>
      <x:c r="AG31" s="2" t="n">
        <x:v>2</x:v>
      </x:c>
      <x:c r="AH31" s="2" t="n">
        <x:v>3</x:v>
      </x:c>
      <x:c r="AI31" s="2" t="n">
        <x:v>1</x:v>
      </x:c>
      <x:c r="AJ31" s="2" t="n">
        <x:v>1</x:v>
      </x:c>
      <x:c r="AK31" s="2" t="n">
        <x:v>2</x:v>
      </x:c>
      <x:c r="AL31" s="2" t="n">
        <x:v>4</x:v>
      </x:c>
      <x:c r="AM31" s="2" t="n">
        <x:v>1</x:v>
      </x:c>
      <x:c r="AN31" s="2" t="n">
        <x:v>1</x:v>
      </x:c>
      <x:c r="AO31" s="2" t="n">
        <x:v>2</x:v>
      </x:c>
      <x:c r="AP31" s="2" t="n">
        <x:v>4</x:v>
      </x:c>
      <x:c r="AQ31" s="2" t="n">
        <x:v>4</x:v>
      </x:c>
      <x:c r="AR31" s="2" t="n">
        <x:f>IF(OR(AT31="채점 완료",AT31="미응답 포함"),AX31,"채점 보류")</x:f>
        <x:v>24</x:v>
      </x:c>
      <x:c r="AS31" s="2" t="n">
        <x:f>IF(ISNUMBER(AR31),1+COUNTIFS($AR$10:$AR$37,"&gt;"&amp;AR31),"순위 제외")</x:f>
        <x:v>13</x:v>
      </x:c>
      <x:c r="AT31" s="2" t="str">
        <x:f>IF(OR(A31="",COUNTIFS($A$10:$A$37,A31)&lt;&gt;1),"ID 확인",IF(C31="결시","결시",IF(C31&lt;&gt;"응시","응시 상태 확인",IF(COUNTIFS('채점내역'!D29:AQ29,"정답 미등록")&gt;0,"정답 확인",IF(AV31&gt;0,"입력 오류",IF(AU31&gt;0,"미응답 포함","채점 완료"))))))</x:f>
        <x:v>채점 완료</x:v>
      </x:c>
      <x:c r="AU31" s="2" t="n">
        <x:f>COUNTIFS('채점내역'!D29:AQ29,"미응답")</x:f>
        <x:v>0</x:v>
      </x:c>
      <x:c r="AV31" s="2" t="n">
        <x:f>COUNTIFS('채점내역'!D29:AQ29,"잘못된 입력")</x:f>
        <x:v>0</x:v>
      </x:c>
      <x:c r="AW31" s="2" t="n">
        <x:f>COUNTIFS('채점내역'!D29:AQ29,"오답")</x:f>
        <x:v>16</x:v>
      </x:c>
      <x:c r="AX31" s="2" t="n">
        <x:f>COUNTIFS('채점내역'!D29:AQ29,"정답")</x:f>
        <x:v>24</x:v>
      </x:c>
    </x:row>
    <x:row r="32" ht="25" customHeight="1">
      <x:c r="A32" s="2" t="str">
        <x:v>S023</x:v>
      </x:c>
      <x:c r="B32" s="2" t="str"/>
      <x:c r="C32" s="2" t="str">
        <x:v>응시</x:v>
      </x:c>
      <x:c r="D32" s="2" t="n">
        <x:v>1</x:v>
      </x:c>
      <x:c r="E32" s="2" t="n">
        <x:v>3</x:v>
      </x:c>
      <x:c r="F32" s="2" t="n">
        <x:v>3</x:v>
      </x:c>
      <x:c r="G32" s="2" t="n">
        <x:v>4</x:v>
      </x:c>
      <x:c r="H32" s="2" t="n">
        <x:v>1</x:v>
      </x:c>
      <x:c r="I32" s="2" t="n">
        <x:v>3</x:v>
      </x:c>
      <x:c r="J32" s="2" t="n">
        <x:v>3</x:v>
      </x:c>
      <x:c r="K32" s="2" t="n">
        <x:v>4</x:v>
      </x:c>
      <x:c r="L32" s="2" t="n">
        <x:v>2</x:v>
      </x:c>
      <x:c r="M32" s="2" t="n">
        <x:v>2</x:v>
      </x:c>
      <x:c r="N32" s="2" t="n">
        <x:v>3</x:v>
      </x:c>
      <x:c r="O32" s="2" t="n">
        <x:v>1</x:v>
      </x:c>
      <x:c r="P32" s="2" t="n">
        <x:v>1</x:v>
      </x:c>
      <x:c r="Q32" s="2" t="n">
        <x:v>2</x:v>
      </x:c>
      <x:c r="R32" s="2" t="n">
        <x:v>3</x:v>
      </x:c>
      <x:c r="S32" s="2" t="n">
        <x:v>1</x:v>
      </x:c>
      <x:c r="T32" s="2" t="n">
        <x:v>1</x:v>
      </x:c>
      <x:c r="U32" s="2" t="n">
        <x:v>2</x:v>
      </x:c>
      <x:c r="V32" s="2" t="n">
        <x:v>4</x:v>
      </x:c>
      <x:c r="W32" s="2" t="n">
        <x:v>4</x:v>
      </x:c>
      <x:c r="X32" s="2" t="n">
        <x:v>1</x:v>
      </x:c>
      <x:c r="Y32" s="2" t="n">
        <x:v>3</x:v>
      </x:c>
      <x:c r="Z32" s="2" t="n">
        <x:v>3</x:v>
      </x:c>
      <x:c r="AA32" s="2" t="n">
        <x:v>4</x:v>
      </x:c>
      <x:c r="AB32" s="2" t="n">
        <x:v>1</x:v>
      </x:c>
      <x:c r="AC32" s="2" t="n">
        <x:v>3</x:v>
      </x:c>
      <x:c r="AD32" s="2" t="n">
        <x:v>3</x:v>
      </x:c>
      <x:c r="AE32" s="2" t="n">
        <x:v>4</x:v>
      </x:c>
      <x:c r="AF32" s="2" t="n">
        <x:v>2</x:v>
      </x:c>
      <x:c r="AG32" s="2" t="n">
        <x:v>2</x:v>
      </x:c>
      <x:c r="AH32" s="2" t="n">
        <x:v>3</x:v>
      </x:c>
      <x:c r="AI32" s="2" t="n">
        <x:v>1</x:v>
      </x:c>
      <x:c r="AJ32" s="2" t="n">
        <x:v>1</x:v>
      </x:c>
      <x:c r="AK32" s="2" t="n">
        <x:v>2</x:v>
      </x:c>
      <x:c r="AL32" s="2" t="n">
        <x:v>3</x:v>
      </x:c>
      <x:c r="AM32" s="2" t="n">
        <x:v>1</x:v>
      </x:c>
      <x:c r="AN32" s="2" t="n">
        <x:v>1</x:v>
      </x:c>
      <x:c r="AO32" s="2" t="n">
        <x:v>2</x:v>
      </x:c>
      <x:c r="AP32" s="2" t="n">
        <x:v>4</x:v>
      </x:c>
      <x:c r="AQ32" s="2" t="n">
        <x:v>4</x:v>
      </x:c>
      <x:c r="AR32" s="2" t="n">
        <x:f>IF(OR(AT32="채점 완료",AT32="미응답 포함"),AX32,"채점 보류")</x:f>
        <x:v>28</x:v>
      </x:c>
      <x:c r="AS32" s="2" t="n">
        <x:f>IF(ISNUMBER(AR32),1+COUNTIFS($AR$10:$AR$37,"&gt;"&amp;AR32),"순위 제외")</x:f>
        <x:v>7</x:v>
      </x:c>
      <x:c r="AT32" s="2" t="str">
        <x:f>IF(OR(A32="",COUNTIFS($A$10:$A$37,A32)&lt;&gt;1),"ID 확인",IF(C32="결시","결시",IF(C32&lt;&gt;"응시","응시 상태 확인",IF(COUNTIFS('채점내역'!D30:AQ30,"정답 미등록")&gt;0,"정답 확인",IF(AV32&gt;0,"입력 오류",IF(AU32&gt;0,"미응답 포함","채점 완료"))))))</x:f>
        <x:v>채점 완료</x:v>
      </x:c>
      <x:c r="AU32" s="2" t="n">
        <x:f>COUNTIFS('채점내역'!D30:AQ30,"미응답")</x:f>
        <x:v>0</x:v>
      </x:c>
      <x:c r="AV32" s="2" t="n">
        <x:f>COUNTIFS('채점내역'!D30:AQ30,"잘못된 입력")</x:f>
        <x:v>0</x:v>
      </x:c>
      <x:c r="AW32" s="2" t="n">
        <x:f>COUNTIFS('채점내역'!D30:AQ30,"오답")</x:f>
        <x:v>12</x:v>
      </x:c>
      <x:c r="AX32" s="2" t="n">
        <x:f>COUNTIFS('채점내역'!D30:AQ30,"정답")</x:f>
        <x:v>28</x:v>
      </x:c>
    </x:row>
    <x:row r="33" ht="25" customHeight="1">
      <x:c r="A33" s="2" t="str">
        <x:v>S024</x:v>
      </x:c>
      <x:c r="B33" s="2" t="str"/>
      <x:c r="C33" s="2" t="str">
        <x:v>응시</x:v>
      </x:c>
      <x:c r="D33" s="2" t="n">
        <x:v>1</x:v>
      </x:c>
      <x:c r="E33" s="2" t="n">
        <x:v>2</x:v>
      </x:c>
      <x:c r="F33" s="2" t="n">
        <x:v>3</x:v>
      </x:c>
      <x:c r="G33" s="2" t="n">
        <x:v>4</x:v>
      </x:c>
      <x:c r="H33" s="2" t="n">
        <x:v>1</x:v>
      </x:c>
      <x:c r="I33" s="2" t="n">
        <x:v>3</x:v>
      </x:c>
      <x:c r="J33" s="2" t="n">
        <x:v>3</x:v>
      </x:c>
      <x:c r="K33" s="2" t="n">
        <x:v>4</x:v>
      </x:c>
      <x:c r="L33" s="2" t="n">
        <x:v>2</x:v>
      </x:c>
      <x:c r="M33" s="2" t="n">
        <x:v>2</x:v>
      </x:c>
      <x:c r="N33" s="2" t="n">
        <x:v>3</x:v>
      </x:c>
      <x:c r="O33" s="2" t="n">
        <x:v>4</x:v>
      </x:c>
      <x:c r="P33" s="2" t="n">
        <x:v>1</x:v>
      </x:c>
      <x:c r="Q33" s="2" t="n">
        <x:v>2</x:v>
      </x:c>
      <x:c r="R33" s="2" t="n">
        <x:v>3</x:v>
      </x:c>
      <x:c r="S33" s="2" t="n">
        <x:v>1</x:v>
      </x:c>
      <x:c r="T33" s="2" t="n">
        <x:v>1</x:v>
      </x:c>
      <x:c r="U33" s="2" t="n">
        <x:v>2</x:v>
      </x:c>
      <x:c r="V33" s="2" t="n">
        <x:v>4</x:v>
      </x:c>
      <x:c r="W33" s="2" t="n">
        <x:v>4</x:v>
      </x:c>
      <x:c r="X33" s="2" t="n">
        <x:v>1</x:v>
      </x:c>
      <x:c r="Y33" s="2" t="n">
        <x:v>2</x:v>
      </x:c>
      <x:c r="Z33" s="2" t="n">
        <x:v>3</x:v>
      </x:c>
      <x:c r="AA33" s="2" t="n">
        <x:v>4</x:v>
      </x:c>
      <x:c r="AB33" s="2" t="n">
        <x:v>1</x:v>
      </x:c>
      <x:c r="AC33" s="2" t="n">
        <x:v>3</x:v>
      </x:c>
      <x:c r="AD33" s="2" t="n">
        <x:v>3</x:v>
      </x:c>
      <x:c r="AE33" s="2" t="n">
        <x:v>4</x:v>
      </x:c>
      <x:c r="AF33" s="2" t="n">
        <x:v>2</x:v>
      </x:c>
      <x:c r="AG33" s="2" t="n">
        <x:v>2</x:v>
      </x:c>
      <x:c r="AH33" s="2" t="n">
        <x:v>3</x:v>
      </x:c>
      <x:c r="AI33" s="2" t="n">
        <x:v>4</x:v>
      </x:c>
      <x:c r="AJ33" s="2" t="n">
        <x:v>1</x:v>
      </x:c>
      <x:c r="AK33" s="2" t="n">
        <x:v>2</x:v>
      </x:c>
      <x:c r="AL33" s="2" t="n">
        <x:v>3</x:v>
      </x:c>
      <x:c r="AM33" s="2" t="n">
        <x:v>1</x:v>
      </x:c>
      <x:c r="AN33" s="2" t="n">
        <x:v>1</x:v>
      </x:c>
      <x:c r="AO33" s="2" t="n">
        <x:v>2</x:v>
      </x:c>
      <x:c r="AP33" s="2" t="n">
        <x:v>4</x:v>
      </x:c>
      <x:c r="AQ33" s="2" t="n">
        <x:v>4</x:v>
      </x:c>
      <x:c r="AR33" s="2" t="n">
        <x:f>IF(OR(AT33="채점 완료",AT33="미응답 포함"),AX33,"채점 보류")</x:f>
        <x:v>32</x:v>
      </x:c>
      <x:c r="AS33" s="2" t="n">
        <x:f>IF(ISNUMBER(AR33),1+COUNTIFS($AR$10:$AR$37,"&gt;"&amp;AR33),"순위 제외")</x:f>
        <x:v>1</x:v>
      </x:c>
      <x:c r="AT33" s="2" t="str">
        <x:f>IF(OR(A33="",COUNTIFS($A$10:$A$37,A33)&lt;&gt;1),"ID 확인",IF(C33="결시","결시",IF(C33&lt;&gt;"응시","응시 상태 확인",IF(COUNTIFS('채점내역'!D31:AQ31,"정답 미등록")&gt;0,"정답 확인",IF(AV33&gt;0,"입력 오류",IF(AU33&gt;0,"미응답 포함","채점 완료"))))))</x:f>
        <x:v>채점 완료</x:v>
      </x:c>
      <x:c r="AU33" s="2" t="n">
        <x:f>COUNTIFS('채점내역'!D31:AQ31,"미응답")</x:f>
        <x:v>0</x:v>
      </x:c>
      <x:c r="AV33" s="2" t="n">
        <x:f>COUNTIFS('채점내역'!D31:AQ31,"잘못된 입력")</x:f>
        <x:v>0</x:v>
      </x:c>
      <x:c r="AW33" s="2" t="n">
        <x:f>COUNTIFS('채점내역'!D31:AQ31,"오답")</x:f>
        <x:v>8</x:v>
      </x:c>
      <x:c r="AX33" s="2" t="n">
        <x:f>COUNTIFS('채점내역'!D31:AQ31,"정답")</x:f>
        <x:v>32</x:v>
      </x:c>
    </x:row>
    <x:row r="34" ht="25" customHeight="1">
      <x:c r="A34" s="2" t="str">
        <x:v>S025</x:v>
      </x:c>
      <x:c r="B34" s="2" t="str">
        <x:v>미응답 예시</x:v>
      </x:c>
      <x:c r="C34" s="2" t="str">
        <x:v>응시</x:v>
      </x:c>
      <x:c r="D34" s="2" t="n">
        <x:v>1</x:v>
      </x:c>
      <x:c r="E34" s="2" t="n">
        <x:v>2</x:v>
      </x:c>
      <x:c r="F34" s="2" t="n">
        <x:v>4</x:v>
      </x:c>
      <x:c r="G34" s="2"/>
      <x:c r="H34" s="2" t="n">
        <x:v>1</x:v>
      </x:c>
      <x:c r="I34" s="2" t="n">
        <x:v>3</x:v>
      </x:c>
      <x:c r="J34" s="2" t="n">
        <x:v>4</x:v>
      </x:c>
      <x:c r="K34" s="2" t="n">
        <x:v>4</x:v>
      </x:c>
      <x:c r="L34" s="2" t="n">
        <x:v>1</x:v>
      </x:c>
      <x:c r="M34" s="2" t="n">
        <x:v>3</x:v>
      </x:c>
      <x:c r="N34" s="2"/>
      <x:c r="O34" s="2" t="n">
        <x:v>4</x:v>
      </x:c>
      <x:c r="P34" s="2" t="n">
        <x:v>2</x:v>
      </x:c>
      <x:c r="Q34" s="2" t="n">
        <x:v>3</x:v>
      </x:c>
      <x:c r="R34" s="2" t="n">
        <x:v>3</x:v>
      </x:c>
      <x:c r="S34" s="2" t="n">
        <x:v>1</x:v>
      </x:c>
      <x:c r="T34" s="2" t="n">
        <x:v>2</x:v>
      </x:c>
      <x:c r="U34" s="2" t="n">
        <x:v>2</x:v>
      </x:c>
      <x:c r="V34" s="2" t="n">
        <x:v>3</x:v>
      </x:c>
      <x:c r="W34" s="2" t="n">
        <x:v>1</x:v>
      </x:c>
      <x:c r="X34" s="2" t="n">
        <x:v>1</x:v>
      </x:c>
      <x:c r="Y34" s="2" t="n">
        <x:v>2</x:v>
      </x:c>
      <x:c r="Z34" s="2" t="n">
        <x:v>4</x:v>
      </x:c>
      <x:c r="AA34" s="2" t="n">
        <x:v>1</x:v>
      </x:c>
      <x:c r="AB34" s="2" t="n">
        <x:v>1</x:v>
      </x:c>
      <x:c r="AC34" s="2" t="n">
        <x:v>3</x:v>
      </x:c>
      <x:c r="AD34" s="2" t="n">
        <x:v>4</x:v>
      </x:c>
      <x:c r="AE34" s="2" t="n">
        <x:v>4</x:v>
      </x:c>
      <x:c r="AF34" s="2" t="n">
        <x:v>1</x:v>
      </x:c>
      <x:c r="AG34" s="2" t="n">
        <x:v>3</x:v>
      </x:c>
      <x:c r="AH34" s="2" t="n">
        <x:v>3</x:v>
      </x:c>
      <x:c r="AI34" s="2" t="n">
        <x:v>4</x:v>
      </x:c>
      <x:c r="AJ34" s="2" t="n">
        <x:v>2</x:v>
      </x:c>
      <x:c r="AK34" s="2" t="n">
        <x:v>3</x:v>
      </x:c>
      <x:c r="AL34" s="2" t="n">
        <x:v>3</x:v>
      </x:c>
      <x:c r="AM34" s="2" t="n">
        <x:v>1</x:v>
      </x:c>
      <x:c r="AN34" s="2" t="n">
        <x:v>2</x:v>
      </x:c>
      <x:c r="AO34" s="2" t="n">
        <x:v>2</x:v>
      </x:c>
      <x:c r="AP34" s="2" t="n">
        <x:v>3</x:v>
      </x:c>
      <x:c r="AQ34" s="2" t="n">
        <x:v>1</x:v>
      </x:c>
      <x:c r="AR34" s="2" t="n">
        <x:f>IF(OR(AT34="채점 완료",AT34="미응답 포함"),AX34,"채점 보류")</x:f>
        <x:v>19</x:v>
      </x:c>
      <x:c r="AS34" s="2" t="n">
        <x:f>IF(ISNUMBER(AR34),1+COUNTIFS($AR$10:$AR$37,"&gt;"&amp;AR34),"순위 제외")</x:f>
        <x:v>26</x:v>
      </x:c>
      <x:c r="AT34" s="2" t="str">
        <x:f>IF(OR(A34="",COUNTIFS($A$10:$A$37,A34)&lt;&gt;1),"ID 확인",IF(C34="결시","결시",IF(C34&lt;&gt;"응시","응시 상태 확인",IF(COUNTIFS('채점내역'!D32:AQ32,"정답 미등록")&gt;0,"정답 확인",IF(AV34&gt;0,"입력 오류",IF(AU34&gt;0,"미응답 포함","채점 완료"))))))</x:f>
        <x:v>미응답 포함</x:v>
      </x:c>
      <x:c r="AU34" s="2" t="n">
        <x:f>COUNTIFS('채점내역'!D32:AQ32,"미응답")</x:f>
        <x:v>2</x:v>
      </x:c>
      <x:c r="AV34" s="2" t="n">
        <x:f>COUNTIFS('채점내역'!D32:AQ32,"잘못된 입력")</x:f>
        <x:v>0</x:v>
      </x:c>
      <x:c r="AW34" s="2" t="n">
        <x:f>COUNTIFS('채점내역'!D32:AQ32,"오답")</x:f>
        <x:v>19</x:v>
      </x:c>
      <x:c r="AX34" s="2" t="n">
        <x:f>COUNTIFS('채점내역'!D32:AQ32,"정답")</x:f>
        <x:v>19</x:v>
      </x:c>
    </x:row>
    <x:row r="35" ht="25" customHeight="1">
      <x:c r="A35" s="2" t="str">
        <x:v>S026</x:v>
      </x:c>
      <x:c r="B35" s="2" t="str">
        <x:v>잘못된 입력 예시</x:v>
      </x:c>
      <x:c r="C35" s="2" t="str">
        <x:v>응시</x:v>
      </x:c>
      <x:c r="D35" s="2" t="n">
        <x:v>1</x:v>
      </x:c>
      <x:c r="E35" s="2" t="n">
        <x:v>2</x:v>
      </x:c>
      <x:c r="F35" s="2" t="n">
        <x:v>4</x:v>
      </x:c>
      <x:c r="G35" s="2" t="n">
        <x:v>1</x:v>
      </x:c>
      <x:c r="H35" s="2" t="n">
        <x:v>1</x:v>
      </x:c>
      <x:c r="I35" s="2" t="n">
        <x:v>2</x:v>
      </x:c>
      <x:c r="J35" s="2" t="n">
        <x:v>4</x:v>
      </x:c>
      <x:c r="K35" s="2" t="n">
        <x:v>4</x:v>
      </x:c>
      <x:c r="L35" s="2" t="n">
        <x:v>9</x:v>
      </x:c>
      <x:c r="M35" s="2" t="n">
        <x:v>3</x:v>
      </x:c>
      <x:c r="N35" s="2" t="n">
        <x:v>3</x:v>
      </x:c>
      <x:c r="O35" s="2" t="n">
        <x:v>4</x:v>
      </x:c>
      <x:c r="P35" s="2" t="n">
        <x:v>2</x:v>
      </x:c>
      <x:c r="Q35" s="2" t="n">
        <x:v>3</x:v>
      </x:c>
      <x:c r="R35" s="2" t="n">
        <x:v>3</x:v>
      </x:c>
      <x:c r="S35" s="2" t="n">
        <x:v>4</x:v>
      </x:c>
      <x:c r="T35" s="2" t="n">
        <x:v>2</x:v>
      </x:c>
      <x:c r="U35" s="2" t="n">
        <x:v>2</x:v>
      </x:c>
      <x:c r="V35" s="2" t="n">
        <x:v>3</x:v>
      </x:c>
      <x:c r="W35" s="2" t="n">
        <x:v>1</x:v>
      </x:c>
      <x:c r="X35" s="2" t="n">
        <x:v>1</x:v>
      </x:c>
      <x:c r="Y35" s="2" t="n">
        <x:v>2</x:v>
      </x:c>
      <x:c r="Z35" s="2" t="n">
        <x:v>4</x:v>
      </x:c>
      <x:c r="AA35" s="2" t="n">
        <x:v>1</x:v>
      </x:c>
      <x:c r="AB35" s="2" t="n">
        <x:v>1</x:v>
      </x:c>
      <x:c r="AC35" s="2" t="n">
        <x:v>2</x:v>
      </x:c>
      <x:c r="AD35" s="2" t="n">
        <x:v>4</x:v>
      </x:c>
      <x:c r="AE35" s="2" t="n">
        <x:v>4</x:v>
      </x:c>
      <x:c r="AF35" s="2" t="n">
        <x:v>1</x:v>
      </x:c>
      <x:c r="AG35" s="2" t="n">
        <x:v>3</x:v>
      </x:c>
      <x:c r="AH35" s="2" t="n">
        <x:v>3</x:v>
      </x:c>
      <x:c r="AI35" s="2" t="n">
        <x:v>4</x:v>
      </x:c>
      <x:c r="AJ35" s="2" t="n">
        <x:v>2</x:v>
      </x:c>
      <x:c r="AK35" s="2" t="n">
        <x:v>3</x:v>
      </x:c>
      <x:c r="AL35" s="2" t="n">
        <x:v>3</x:v>
      </x:c>
      <x:c r="AM35" s="2" t="n">
        <x:v>4</x:v>
      </x:c>
      <x:c r="AN35" s="2" t="n">
        <x:v>2</x:v>
      </x:c>
      <x:c r="AO35" s="2" t="n">
        <x:v>2</x:v>
      </x:c>
      <x:c r="AP35" s="2" t="n">
        <x:v>3</x:v>
      </x:c>
      <x:c r="AQ35" s="2" t="n">
        <x:v>1</x:v>
      </x:c>
      <x:c r="AR35" s="2" t="str">
        <x:f>IF(OR(AT35="채점 완료",AT35="미응답 포함"),AX35,"채점 보류")</x:f>
        <x:v>채점 보류</x:v>
      </x:c>
      <x:c r="AS35" s="2" t="str">
        <x:f>IF(ISNUMBER(AR35),1+COUNTIFS($AR$10:$AR$37,"&gt;"&amp;AR35),"순위 제외")</x:f>
        <x:v>순위 제외</x:v>
      </x:c>
      <x:c r="AT35" s="2" t="str">
        <x:f>IF(OR(A35="",COUNTIFS($A$10:$A$37,A35)&lt;&gt;1),"ID 확인",IF(C35="결시","결시",IF(C35&lt;&gt;"응시","응시 상태 확인",IF(COUNTIFS('채점내역'!D33:AQ33,"정답 미등록")&gt;0,"정답 확인",IF(AV35&gt;0,"입력 오류",IF(AU35&gt;0,"미응답 포함","채점 완료"))))))</x:f>
        <x:v>입력 오류</x:v>
      </x:c>
      <x:c r="AU35" s="2" t="n">
        <x:f>COUNTIFS('채점내역'!D33:AQ33,"미응답")</x:f>
        <x:v>0</x:v>
      </x:c>
      <x:c r="AV35" s="2" t="n">
        <x:f>COUNTIFS('채점내역'!D33:AQ33,"잘못된 입력")</x:f>
        <x:v>1</x:v>
      </x:c>
      <x:c r="AW35" s="2" t="n">
        <x:f>COUNTIFS('채점내역'!D33:AQ33,"오답")</x:f>
        <x:v>16</x:v>
      </x:c>
      <x:c r="AX35" s="2" t="n">
        <x:f>COUNTIFS('채점내역'!D33:AQ33,"정답")</x:f>
        <x:v>23</x:v>
      </x:c>
    </x:row>
    <x:row r="36" ht="25" customHeight="1">
      <x:c r="A36" s="2" t="str">
        <x:v>S027</x:v>
      </x:c>
      <x:c r="B36" s="2" t="str">
        <x:v>동점 예시</x:v>
      </x:c>
      <x:c r="C36" s="2" t="str">
        <x:v>응시</x:v>
      </x:c>
      <x:c r="D36" s="2" t="n">
        <x:v>1</x:v>
      </x:c>
      <x:c r="E36" s="2" t="n">
        <x:v>3</x:v>
      </x:c>
      <x:c r="F36" s="2" t="n">
        <x:v>3</x:v>
      </x:c>
      <x:c r="G36" s="2" t="n">
        <x:v>4</x:v>
      </x:c>
      <x:c r="H36" s="2" t="n">
        <x:v>2</x:v>
      </x:c>
      <x:c r="I36" s="2" t="n">
        <x:v>3</x:v>
      </x:c>
      <x:c r="J36" s="2" t="n">
        <x:v>3</x:v>
      </x:c>
      <x:c r="K36" s="2" t="n">
        <x:v>1</x:v>
      </x:c>
      <x:c r="L36" s="2" t="n">
        <x:v>2</x:v>
      </x:c>
      <x:c r="M36" s="2" t="n">
        <x:v>2</x:v>
      </x:c>
      <x:c r="N36" s="2" t="n">
        <x:v>3</x:v>
      </x:c>
      <x:c r="O36" s="2" t="n">
        <x:v>1</x:v>
      </x:c>
      <x:c r="P36" s="2" t="n">
        <x:v>1</x:v>
      </x:c>
      <x:c r="Q36" s="2" t="n">
        <x:v>2</x:v>
      </x:c>
      <x:c r="R36" s="2" t="n">
        <x:v>4</x:v>
      </x:c>
      <x:c r="S36" s="2" t="n">
        <x:v>1</x:v>
      </x:c>
      <x:c r="T36" s="2" t="n">
        <x:v>1</x:v>
      </x:c>
      <x:c r="U36" s="2" t="n">
        <x:v>3</x:v>
      </x:c>
      <x:c r="V36" s="2" t="n">
        <x:v>4</x:v>
      </x:c>
      <x:c r="W36" s="2" t="n">
        <x:v>4</x:v>
      </x:c>
      <x:c r="X36" s="2" t="n">
        <x:v>1</x:v>
      </x:c>
      <x:c r="Y36" s="2" t="n">
        <x:v>3</x:v>
      </x:c>
      <x:c r="Z36" s="2" t="n">
        <x:v>3</x:v>
      </x:c>
      <x:c r="AA36" s="2" t="n">
        <x:v>4</x:v>
      </x:c>
      <x:c r="AB36" s="2" t="n">
        <x:v>2</x:v>
      </x:c>
      <x:c r="AC36" s="2" t="n">
        <x:v>3</x:v>
      </x:c>
      <x:c r="AD36" s="2" t="n">
        <x:v>3</x:v>
      </x:c>
      <x:c r="AE36" s="2" t="n">
        <x:v>1</x:v>
      </x:c>
      <x:c r="AF36" s="2" t="n">
        <x:v>2</x:v>
      </x:c>
      <x:c r="AG36" s="2" t="n">
        <x:v>2</x:v>
      </x:c>
      <x:c r="AH36" s="2" t="n">
        <x:v>3</x:v>
      </x:c>
      <x:c r="AI36" s="2" t="n">
        <x:v>1</x:v>
      </x:c>
      <x:c r="AJ36" s="2" t="n">
        <x:v>1</x:v>
      </x:c>
      <x:c r="AK36" s="2" t="n">
        <x:v>2</x:v>
      </x:c>
      <x:c r="AL36" s="2" t="n">
        <x:v>4</x:v>
      </x:c>
      <x:c r="AM36" s="2" t="n">
        <x:v>1</x:v>
      </x:c>
      <x:c r="AN36" s="2" t="n">
        <x:v>1</x:v>
      </x:c>
      <x:c r="AO36" s="2" t="n">
        <x:v>3</x:v>
      </x:c>
      <x:c r="AP36" s="2" t="n">
        <x:v>4</x:v>
      </x:c>
      <x:c r="AQ36" s="2" t="n">
        <x:v>4</x:v>
      </x:c>
      <x:c r="AR36" s="2" t="n">
        <x:f>IF(OR(AT36="채점 완료",AT36="미응답 포함"),AX36,"채점 보류")</x:f>
        <x:v>20</x:v>
      </x:c>
      <x:c r="AS36" s="2" t="n">
        <x:f>IF(ISNUMBER(AR36),1+COUNTIFS($AR$10:$AR$37,"&gt;"&amp;AR36),"순위 제외")</x:f>
        <x:v>19</x:v>
      </x:c>
      <x:c r="AT36" s="2" t="str">
        <x:f>IF(OR(A36="",COUNTIFS($A$10:$A$37,A36)&lt;&gt;1),"ID 확인",IF(C36="결시","결시",IF(C36&lt;&gt;"응시","응시 상태 확인",IF(COUNTIFS('채점내역'!D34:AQ34,"정답 미등록")&gt;0,"정답 확인",IF(AV36&gt;0,"입력 오류",IF(AU36&gt;0,"미응답 포함","채점 완료"))))))</x:f>
        <x:v>채점 완료</x:v>
      </x:c>
      <x:c r="AU36" s="2" t="n">
        <x:f>COUNTIFS('채점내역'!D34:AQ34,"미응답")</x:f>
        <x:v>0</x:v>
      </x:c>
      <x:c r="AV36" s="2" t="n">
        <x:f>COUNTIFS('채점내역'!D34:AQ34,"잘못된 입력")</x:f>
        <x:v>0</x:v>
      </x:c>
      <x:c r="AW36" s="2" t="n">
        <x:f>COUNTIFS('채점내역'!D34:AQ34,"오답")</x:f>
        <x:v>20</x:v>
      </x:c>
      <x:c r="AX36" s="2" t="n">
        <x:f>COUNTIFS('채점내역'!D34:AQ34,"정답")</x:f>
        <x:v>20</x:v>
      </x:c>
    </x:row>
    <x:row r="37" ht="25" customHeight="1">
      <x:c r="A37" s="2" t="str">
        <x:v>S028</x:v>
      </x:c>
      <x:c r="B37" s="2" t="str"/>
      <x:c r="C37" s="2" t="str">
        <x:v>결시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 t="str">
        <x:f>IF(OR(AT37="채점 완료",AT37="미응답 포함"),AX37,"채점 보류")</x:f>
        <x:v>채점 보류</x:v>
      </x:c>
      <x:c r="AS37" s="2" t="str">
        <x:f>IF(ISNUMBER(AR37),1+COUNTIFS($AR$10:$AR$37,"&gt;"&amp;AR37),"순위 제외")</x:f>
        <x:v>순위 제외</x:v>
      </x:c>
      <x:c r="AT37" s="2" t="str">
        <x:f>IF(OR(A37="",COUNTIFS($A$10:$A$37,A37)&lt;&gt;1),"ID 확인",IF(C37="결시","결시",IF(C37&lt;&gt;"응시","응시 상태 확인",IF(COUNTIFS('채점내역'!D35:AQ35,"정답 미등록")&gt;0,"정답 확인",IF(AV37&gt;0,"입력 오류",IF(AU37&gt;0,"미응답 포함","채점 완료"))))))</x:f>
        <x:v>결시</x:v>
      </x:c>
      <x:c r="AU37" s="2" t="n">
        <x:f>COUNTIFS('채점내역'!D35:AQ35,"미응답")</x:f>
        <x:v>0</x:v>
      </x:c>
      <x:c r="AV37" s="2" t="n">
        <x:f>COUNTIFS('채점내역'!D35:AQ35,"잘못된 입력")</x:f>
        <x:v>0</x:v>
      </x:c>
      <x:c r="AW37" s="2" t="n">
        <x:f>COUNTIFS('채점내역'!D35:AQ35,"오답")</x:f>
        <x:v>0</x:v>
      </x:c>
      <x:c r="AX37" s="2" t="n">
        <x:f>COUNTIFS('채점내역'!D35:AQ35,"정답")</x:f>
        <x:v>0</x:v>
      </x:c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</x:row>
    <x:row r="40" ht="30" customHeight="1">
      <x:c r="A40" s="8" t="str">
        <x:v>문항 분석</x:v>
      </x:c>
      <x:c r="B40" s="8"/>
      <x:c r="C40" s="8"/>
      <x:c r="D40" s="8" t="n">
        <x:v>1</x:v>
      </x:c>
      <x:c r="E40" s="8" t="n">
        <x:v>2</x:v>
      </x:c>
      <x:c r="F40" s="8" t="n">
        <x:v>3</x:v>
      </x:c>
      <x:c r="G40" s="8" t="n">
        <x:v>4</x:v>
      </x:c>
      <x:c r="H40" s="8" t="n">
        <x:v>5</x:v>
      </x:c>
      <x:c r="I40" s="8" t="n">
        <x:v>6</x:v>
      </x:c>
      <x:c r="J40" s="8" t="n">
        <x:v>7</x:v>
      </x:c>
      <x:c r="K40" s="8" t="n">
        <x:v>8</x:v>
      </x:c>
      <x:c r="L40" s="8" t="n">
        <x:v>9</x:v>
      </x:c>
      <x:c r="M40" s="8" t="n">
        <x:v>10</x:v>
      </x:c>
      <x:c r="N40" s="8" t="n">
        <x:v>11</x:v>
      </x:c>
      <x:c r="O40" s="8" t="n">
        <x:v>12</x:v>
      </x:c>
      <x:c r="P40" s="8" t="n">
        <x:v>13</x:v>
      </x:c>
      <x:c r="Q40" s="8" t="n">
        <x:v>14</x:v>
      </x:c>
      <x:c r="R40" s="8" t="n">
        <x:v>15</x:v>
      </x:c>
      <x:c r="S40" s="8" t="n">
        <x:v>16</x:v>
      </x:c>
      <x:c r="T40" s="8" t="n">
        <x:v>17</x:v>
      </x:c>
      <x:c r="U40" s="8" t="n">
        <x:v>18</x:v>
      </x:c>
      <x:c r="V40" s="8" t="n">
        <x:v>19</x:v>
      </x:c>
      <x:c r="W40" s="8" t="n">
        <x:v>20</x:v>
      </x:c>
      <x:c r="X40" s="8" t="n">
        <x:v>21</x:v>
      </x:c>
      <x:c r="Y40" s="8" t="n">
        <x:v>22</x:v>
      </x:c>
      <x:c r="Z40" s="8" t="n">
        <x:v>23</x:v>
      </x:c>
      <x:c r="AA40" s="8" t="n">
        <x:v>24</x:v>
      </x:c>
      <x:c r="AB40" s="8" t="n">
        <x:v>25</x:v>
      </x:c>
      <x:c r="AC40" s="8" t="n">
        <x:v>26</x:v>
      </x:c>
      <x:c r="AD40" s="8" t="n">
        <x:v>27</x:v>
      </x:c>
      <x:c r="AE40" s="8" t="n">
        <x:v>28</x:v>
      </x:c>
      <x:c r="AF40" s="8" t="n">
        <x:v>29</x:v>
      </x:c>
      <x:c r="AG40" s="8" t="n">
        <x:v>30</x:v>
      </x:c>
      <x:c r="AH40" s="8" t="n">
        <x:v>31</x:v>
      </x:c>
      <x:c r="AI40" s="8" t="n">
        <x:v>32</x:v>
      </x:c>
      <x:c r="AJ40" s="8" t="n">
        <x:v>33</x:v>
      </x:c>
      <x:c r="AK40" s="8" t="n">
        <x:v>34</x:v>
      </x:c>
      <x:c r="AL40" s="8" t="n">
        <x:v>35</x:v>
      </x:c>
      <x:c r="AM40" s="8" t="n">
        <x:v>36</x:v>
      </x:c>
      <x:c r="AN40" s="8" t="n">
        <x:v>37</x:v>
      </x:c>
      <x:c r="AO40" s="8" t="n">
        <x:v>38</x:v>
      </x:c>
      <x:c r="AP40" s="8" t="n">
        <x:v>39</x:v>
      </x:c>
      <x:c r="AQ40" s="8" t="n">
        <x:v>40</x:v>
      </x:c>
      <x:c r="AR40" s="2"/>
      <x:c r="AS40" s="2"/>
      <x:c r="AT40" s="2"/>
      <x:c r="AU40" s="2"/>
      <x:c r="AV40" s="2"/>
      <x:c r="AW40" s="2"/>
      <x:c r="AX40" s="2"/>
    </x:row>
    <x:row r="41" ht="25" customHeight="1">
      <x:c r="A41" s="2" t="str">
        <x:v>정답자 수</x:v>
      </x:c>
      <x:c r="B41" s="2"/>
      <x:c r="C41" s="2"/>
      <x:c r="D41" s="2" t="n">
        <x:f>COUNTIFS('채점내역'!D8:D35,"정답",$AT$10:$AT$37,"채점 완료")+COUNTIFS('채점내역'!D8:D35,"정답",$AT$10:$AT$37,"미응답 포함")</x:f>
        <x:v>20</x:v>
      </x:c>
      <x:c r="E41" s="2" t="n">
        <x:f>COUNTIFS('채점내역'!E8:E35,"정답",$AT$10:$AT$37,"채점 완료")+COUNTIFS('채점내역'!E8:E35,"정답",$AT$10:$AT$37,"미응답 포함")</x:f>
        <x:v>14</x:v>
      </x:c>
      <x:c r="F41" s="2" t="n">
        <x:f>COUNTIFS('채점내역'!F8:F35,"정답",$AT$10:$AT$37,"채점 완료")+COUNTIFS('채점내역'!F8:F35,"정답",$AT$10:$AT$37,"미응답 포함")</x:f>
        <x:v>19</x:v>
      </x:c>
      <x:c r="G41" s="2" t="n">
        <x:f>COUNTIFS('채점내역'!G8:G35,"정답",$AT$10:$AT$37,"채점 완료")+COUNTIFS('채점내역'!G8:G35,"정답",$AT$10:$AT$37,"미응답 포함")</x:f>
        <x:v>17</x:v>
      </x:c>
      <x:c r="H41" s="2" t="n">
        <x:f>COUNTIFS('채점내역'!H8:H35,"정답",$AT$10:$AT$37,"채점 완료")+COUNTIFS('채점내역'!H8:H35,"정답",$AT$10:$AT$37,"미응답 포함")</x:f>
        <x:v>17</x:v>
      </x:c>
      <x:c r="I41" s="2" t="n">
        <x:f>COUNTIFS('채점내역'!I8:I35,"정답",$AT$10:$AT$37,"채점 완료")+COUNTIFS('채점내역'!I8:I35,"정답",$AT$10:$AT$37,"미응답 포함")</x:f>
        <x:v>12</x:v>
      </x:c>
      <x:c r="J41" s="2" t="n">
        <x:f>COUNTIFS('채점내역'!J8:J35,"정답",$AT$10:$AT$37,"채점 완료")+COUNTIFS('채점내역'!J8:J35,"정답",$AT$10:$AT$37,"미응답 포함")</x:f>
        <x:v>19</x:v>
      </x:c>
      <x:c r="K41" s="2" t="n">
        <x:f>COUNTIFS('채점내역'!K8:K35,"정답",$AT$10:$AT$37,"채점 완료")+COUNTIFS('채점내역'!K8:K35,"정답",$AT$10:$AT$37,"미응답 포함")</x:f>
        <x:v>16</x:v>
      </x:c>
      <x:c r="L41" s="2" t="n">
        <x:f>COUNTIFS('채점내역'!L8:L35,"정답",$AT$10:$AT$37,"채점 완료")+COUNTIFS('채점내역'!L8:L35,"정답",$AT$10:$AT$37,"미응답 포함")</x:f>
        <x:v>15</x:v>
      </x:c>
      <x:c r="M41" s="2" t="n">
        <x:f>COUNTIFS('채점내역'!M8:M35,"정답",$AT$10:$AT$37,"채점 완료")+COUNTIFS('채점내역'!M8:M35,"정답",$AT$10:$AT$37,"미응답 포함")</x:f>
        <x:v>17</x:v>
      </x:c>
      <x:c r="N41" s="2" t="n">
        <x:f>COUNTIFS('채점내역'!N8:N35,"정답",$AT$10:$AT$37,"채점 완료")+COUNTIFS('채점내역'!N8:N35,"정답",$AT$10:$AT$37,"미응답 포함")</x:f>
        <x:v>19</x:v>
      </x:c>
      <x:c r="O41" s="2" t="n">
        <x:f>COUNTIFS('채점내역'!O8:O35,"정답",$AT$10:$AT$37,"채점 완료")+COUNTIFS('채점내역'!O8:O35,"정답",$AT$10:$AT$37,"미응답 포함")</x:f>
        <x:v>14</x:v>
      </x:c>
      <x:c r="P41" s="2" t="n">
        <x:f>COUNTIFS('채점내역'!P8:P35,"정답",$AT$10:$AT$37,"채점 완료")+COUNTIFS('채점내역'!P8:P35,"정답",$AT$10:$AT$37,"미응답 포함")</x:f>
        <x:v>19</x:v>
      </x:c>
      <x:c r="Q41" s="2" t="n">
        <x:f>COUNTIFS('채점내역'!Q8:Q35,"정답",$AT$10:$AT$37,"채점 완료")+COUNTIFS('채점내역'!Q8:Q35,"정답",$AT$10:$AT$37,"미응답 포함")</x:f>
        <x:v>17</x:v>
      </x:c>
      <x:c r="R41" s="2" t="n">
        <x:f>COUNTIFS('채점내역'!R8:R35,"정답",$AT$10:$AT$37,"채점 완료")+COUNTIFS('채점내역'!R8:R35,"정답",$AT$10:$AT$37,"미응답 포함")</x:f>
        <x:v>17</x:v>
      </x:c>
      <x:c r="S41" s="2" t="n">
        <x:f>COUNTIFS('채점내역'!S8:S35,"정답",$AT$10:$AT$37,"채점 완료")+COUNTIFS('채점내역'!S8:S35,"정답",$AT$10:$AT$37,"미응답 포함")</x:f>
        <x:v>12</x:v>
      </x:c>
      <x:c r="T41" s="2" t="n">
        <x:f>COUNTIFS('채점내역'!T8:T35,"정답",$AT$10:$AT$37,"채점 완료")+COUNTIFS('채점내역'!T8:T35,"정답",$AT$10:$AT$37,"미응답 포함")</x:f>
        <x:v>19</x:v>
      </x:c>
      <x:c r="U41" s="2" t="n">
        <x:f>COUNTIFS('채점내역'!U8:U35,"정답",$AT$10:$AT$37,"채점 완료")+COUNTIFS('채점내역'!U8:U35,"정답",$AT$10:$AT$37,"미응답 포함")</x:f>
        <x:v>16</x:v>
      </x:c>
      <x:c r="V41" s="2" t="n">
        <x:f>COUNTIFS('채점내역'!V8:V35,"정답",$AT$10:$AT$37,"채점 완료")+COUNTIFS('채점내역'!V8:V35,"정답",$AT$10:$AT$37,"미응답 포함")</x:f>
        <x:v>15</x:v>
      </x:c>
      <x:c r="W41" s="2" t="n">
        <x:f>COUNTIFS('채점내역'!W8:W35,"정답",$AT$10:$AT$37,"채점 완료")+COUNTIFS('채점내역'!W8:W35,"정답",$AT$10:$AT$37,"미응답 포함")</x:f>
        <x:v>17</x:v>
      </x:c>
      <x:c r="X41" s="2" t="n">
        <x:f>COUNTIFS('채점내역'!X8:X35,"정답",$AT$10:$AT$37,"채점 완료")+COUNTIFS('채점내역'!X8:X35,"정답",$AT$10:$AT$37,"미응답 포함")</x:f>
        <x:v>20</x:v>
      </x:c>
      <x:c r="Y41" s="2" t="n">
        <x:f>COUNTIFS('채점내역'!Y8:Y35,"정답",$AT$10:$AT$37,"채점 완료")+COUNTIFS('채점내역'!Y8:Y35,"정답",$AT$10:$AT$37,"미응답 포함")</x:f>
        <x:v>14</x:v>
      </x:c>
      <x:c r="Z41" s="2" t="n">
        <x:f>COUNTIFS('채점내역'!Z8:Z35,"정답",$AT$10:$AT$37,"채점 완료")+COUNTIFS('채점내역'!Z8:Z35,"정답",$AT$10:$AT$37,"미응답 포함")</x:f>
        <x:v>19</x:v>
      </x:c>
      <x:c r="AA41" s="2" t="n">
        <x:f>COUNTIFS('채점내역'!AA8:AA35,"정답",$AT$10:$AT$37,"채점 완료")+COUNTIFS('채점내역'!AA8:AA35,"정답",$AT$10:$AT$37,"미응답 포함")</x:f>
        <x:v>17</x:v>
      </x:c>
      <x:c r="AB41" s="2" t="n">
        <x:f>COUNTIFS('채점내역'!AB8:AB35,"정답",$AT$10:$AT$37,"채점 완료")+COUNTIFS('채점내역'!AB8:AB35,"정답",$AT$10:$AT$37,"미응답 포함")</x:f>
        <x:v>17</x:v>
      </x:c>
      <x:c r="AC41" s="2" t="n">
        <x:f>COUNTIFS('채점내역'!AC8:AC35,"정답",$AT$10:$AT$37,"채점 완료")+COUNTIFS('채점내역'!AC8:AC35,"정답",$AT$10:$AT$37,"미응답 포함")</x:f>
        <x:v>12</x:v>
      </x:c>
      <x:c r="AD41" s="2" t="n">
        <x:f>COUNTIFS('채점내역'!AD8:AD35,"정답",$AT$10:$AT$37,"채점 완료")+COUNTIFS('채점내역'!AD8:AD35,"정답",$AT$10:$AT$37,"미응답 포함")</x:f>
        <x:v>19</x:v>
      </x:c>
      <x:c r="AE41" s="2" t="n">
        <x:f>COUNTIFS('채점내역'!AE8:AE35,"정답",$AT$10:$AT$37,"채점 완료")+COUNTIFS('채점내역'!AE8:AE35,"정답",$AT$10:$AT$37,"미응답 포함")</x:f>
        <x:v>16</x:v>
      </x:c>
      <x:c r="AF41" s="2" t="n">
        <x:f>COUNTIFS('채점내역'!AF8:AF35,"정답",$AT$10:$AT$37,"채점 완료")+COUNTIFS('채점내역'!AF8:AF35,"정답",$AT$10:$AT$37,"미응답 포함")</x:f>
        <x:v>15</x:v>
      </x:c>
      <x:c r="AG41" s="2" t="n">
        <x:f>COUNTIFS('채점내역'!AG8:AG35,"정답",$AT$10:$AT$37,"채점 완료")+COUNTIFS('채점내역'!AG8:AG35,"정답",$AT$10:$AT$37,"미응답 포함")</x:f>
        <x:v>17</x:v>
      </x:c>
      <x:c r="AH41" s="2" t="n">
        <x:f>COUNTIFS('채점내역'!AH8:AH35,"정답",$AT$10:$AT$37,"채점 완료")+COUNTIFS('채점내역'!AH8:AH35,"정답",$AT$10:$AT$37,"미응답 포함")</x:f>
        <x:v>20</x:v>
      </x:c>
      <x:c r="AI41" s="2" t="n">
        <x:f>COUNTIFS('채점내역'!AI8:AI35,"정답",$AT$10:$AT$37,"채점 완료")+COUNTIFS('채점내역'!AI8:AI35,"정답",$AT$10:$AT$37,"미응답 포함")</x:f>
        <x:v>14</x:v>
      </x:c>
      <x:c r="AJ41" s="2" t="n">
        <x:f>COUNTIFS('채점내역'!AJ8:AJ35,"정답",$AT$10:$AT$37,"채점 완료")+COUNTIFS('채점내역'!AJ8:AJ35,"정답",$AT$10:$AT$37,"미응답 포함")</x:f>
        <x:v>19</x:v>
      </x:c>
      <x:c r="AK41" s="2" t="n">
        <x:f>COUNTIFS('채점내역'!AK8:AK35,"정답",$AT$10:$AT$37,"채점 완료")+COUNTIFS('채점내역'!AK8:AK35,"정답",$AT$10:$AT$37,"미응답 포함")</x:f>
        <x:v>17</x:v>
      </x:c>
      <x:c r="AL41" s="2" t="n">
        <x:f>COUNTIFS('채점내역'!AL8:AL35,"정답",$AT$10:$AT$37,"채점 완료")+COUNTIFS('채점내역'!AL8:AL35,"정답",$AT$10:$AT$37,"미응답 포함")</x:f>
        <x:v>17</x:v>
      </x:c>
      <x:c r="AM41" s="2" t="n">
        <x:f>COUNTIFS('채점내역'!AM8:AM35,"정답",$AT$10:$AT$37,"채점 완료")+COUNTIFS('채점내역'!AM8:AM35,"정답",$AT$10:$AT$37,"미응답 포함")</x:f>
        <x:v>12</x:v>
      </x:c>
      <x:c r="AN41" s="2" t="n">
        <x:f>COUNTIFS('채점내역'!AN8:AN35,"정답",$AT$10:$AT$37,"채점 완료")+COUNTIFS('채점내역'!AN8:AN35,"정답",$AT$10:$AT$37,"미응답 포함")</x:f>
        <x:v>19</x:v>
      </x:c>
      <x:c r="AO41" s="2" t="n">
        <x:f>COUNTIFS('채점내역'!AO8:AO35,"정답",$AT$10:$AT$37,"채점 완료")+COUNTIFS('채점내역'!AO8:AO35,"정답",$AT$10:$AT$37,"미응답 포함")</x:f>
        <x:v>16</x:v>
      </x:c>
      <x:c r="AP41" s="2" t="n">
        <x:f>COUNTIFS('채점내역'!AP8:AP35,"정답",$AT$10:$AT$37,"채점 완료")+COUNTIFS('채점내역'!AP8:AP35,"정답",$AT$10:$AT$37,"미응답 포함")</x:f>
        <x:v>15</x:v>
      </x:c>
      <x:c r="AQ41" s="2" t="n">
        <x:f>COUNTIFS('채점내역'!AQ8:AQ35,"정답",$AT$10:$AT$37,"채점 완료")+COUNTIFS('채점내역'!AQ8:AQ35,"정답",$AT$10:$AT$37,"미응답 포함")</x:f>
        <x:v>17</x:v>
      </x:c>
      <x:c r="AR41" s="2"/>
      <x:c r="AS41" s="2"/>
      <x:c r="AT41" s="2"/>
      <x:c r="AU41" s="2"/>
      <x:c r="AV41" s="2"/>
      <x:c r="AW41" s="2"/>
      <x:c r="AX41" s="2"/>
    </x:row>
    <x:row r="42" ht="25" customHeight="1">
      <x:c r="A42" s="2" t="str">
        <x:v>집계 대상</x:v>
      </x:c>
      <x:c r="B42" s="2"/>
      <x:c r="C42" s="2"/>
      <x:c r="D42" s="2" t="n">
        <x:f>COUNT($AR$10:$AR$37)</x:f>
        <x:v>26</x:v>
      </x:c>
      <x:c r="E42" s="2" t="n">
        <x:f>COUNT($AR$10:$AR$37)</x:f>
        <x:v>26</x:v>
      </x:c>
      <x:c r="F42" s="2" t="n">
        <x:f>COUNT($AR$10:$AR$37)</x:f>
        <x:v>26</x:v>
      </x:c>
      <x:c r="G42" s="2" t="n">
        <x:f>COUNT($AR$10:$AR$37)</x:f>
        <x:v>26</x:v>
      </x:c>
      <x:c r="H42" s="2" t="n">
        <x:f>COUNT($AR$10:$AR$37)</x:f>
        <x:v>26</x:v>
      </x:c>
      <x:c r="I42" s="2" t="n">
        <x:f>COUNT($AR$10:$AR$37)</x:f>
        <x:v>26</x:v>
      </x:c>
      <x:c r="J42" s="2" t="n">
        <x:f>COUNT($AR$10:$AR$37)</x:f>
        <x:v>26</x:v>
      </x:c>
      <x:c r="K42" s="2" t="n">
        <x:f>COUNT($AR$10:$AR$37)</x:f>
        <x:v>26</x:v>
      </x:c>
      <x:c r="L42" s="2" t="n">
        <x:f>COUNT($AR$10:$AR$37)</x:f>
        <x:v>26</x:v>
      </x:c>
      <x:c r="M42" s="2" t="n">
        <x:f>COUNT($AR$10:$AR$37)</x:f>
        <x:v>26</x:v>
      </x:c>
      <x:c r="N42" s="2" t="n">
        <x:f>COUNT($AR$10:$AR$37)</x:f>
        <x:v>26</x:v>
      </x:c>
      <x:c r="O42" s="2" t="n">
        <x:f>COUNT($AR$10:$AR$37)</x:f>
        <x:v>26</x:v>
      </x:c>
      <x:c r="P42" s="2" t="n">
        <x:f>COUNT($AR$10:$AR$37)</x:f>
        <x:v>26</x:v>
      </x:c>
      <x:c r="Q42" s="2" t="n">
        <x:f>COUNT($AR$10:$AR$37)</x:f>
        <x:v>26</x:v>
      </x:c>
      <x:c r="R42" s="2" t="n">
        <x:f>COUNT($AR$10:$AR$37)</x:f>
        <x:v>26</x:v>
      </x:c>
      <x:c r="S42" s="2" t="n">
        <x:f>COUNT($AR$10:$AR$37)</x:f>
        <x:v>26</x:v>
      </x:c>
      <x:c r="T42" s="2" t="n">
        <x:f>COUNT($AR$10:$AR$37)</x:f>
        <x:v>26</x:v>
      </x:c>
      <x:c r="U42" s="2" t="n">
        <x:f>COUNT($AR$10:$AR$37)</x:f>
        <x:v>26</x:v>
      </x:c>
      <x:c r="V42" s="2" t="n">
        <x:f>COUNT($AR$10:$AR$37)</x:f>
        <x:v>26</x:v>
      </x:c>
      <x:c r="W42" s="2" t="n">
        <x:f>COUNT($AR$10:$AR$37)</x:f>
        <x:v>26</x:v>
      </x:c>
      <x:c r="X42" s="2" t="n">
        <x:f>COUNT($AR$10:$AR$37)</x:f>
        <x:v>26</x:v>
      </x:c>
      <x:c r="Y42" s="2" t="n">
        <x:f>COUNT($AR$10:$AR$37)</x:f>
        <x:v>26</x:v>
      </x:c>
      <x:c r="Z42" s="2" t="n">
        <x:f>COUNT($AR$10:$AR$37)</x:f>
        <x:v>26</x:v>
      </x:c>
      <x:c r="AA42" s="2" t="n">
        <x:f>COUNT($AR$10:$AR$37)</x:f>
        <x:v>26</x:v>
      </x:c>
      <x:c r="AB42" s="2" t="n">
        <x:f>COUNT($AR$10:$AR$37)</x:f>
        <x:v>26</x:v>
      </x:c>
      <x:c r="AC42" s="2" t="n">
        <x:f>COUNT($AR$10:$AR$37)</x:f>
        <x:v>26</x:v>
      </x:c>
      <x:c r="AD42" s="2" t="n">
        <x:f>COUNT($AR$10:$AR$37)</x:f>
        <x:v>26</x:v>
      </x:c>
      <x:c r="AE42" s="2" t="n">
        <x:f>COUNT($AR$10:$AR$37)</x:f>
        <x:v>26</x:v>
      </x:c>
      <x:c r="AF42" s="2" t="n">
        <x:f>COUNT($AR$10:$AR$37)</x:f>
        <x:v>26</x:v>
      </x:c>
      <x:c r="AG42" s="2" t="n">
        <x:f>COUNT($AR$10:$AR$37)</x:f>
        <x:v>26</x:v>
      </x:c>
      <x:c r="AH42" s="2" t="n">
        <x:f>COUNT($AR$10:$AR$37)</x:f>
        <x:v>26</x:v>
      </x:c>
      <x:c r="AI42" s="2" t="n">
        <x:f>COUNT($AR$10:$AR$37)</x:f>
        <x:v>26</x:v>
      </x:c>
      <x:c r="AJ42" s="2" t="n">
        <x:f>COUNT($AR$10:$AR$37)</x:f>
        <x:v>26</x:v>
      </x:c>
      <x:c r="AK42" s="2" t="n">
        <x:f>COUNT($AR$10:$AR$37)</x:f>
        <x:v>26</x:v>
      </x:c>
      <x:c r="AL42" s="2" t="n">
        <x:f>COUNT($AR$10:$AR$37)</x:f>
        <x:v>26</x:v>
      </x:c>
      <x:c r="AM42" s="2" t="n">
        <x:f>COUNT($AR$10:$AR$37)</x:f>
        <x:v>26</x:v>
      </x:c>
      <x:c r="AN42" s="2" t="n">
        <x:f>COUNT($AR$10:$AR$37)</x:f>
        <x:v>26</x:v>
      </x:c>
      <x:c r="AO42" s="2" t="n">
        <x:f>COUNT($AR$10:$AR$37)</x:f>
        <x:v>26</x:v>
      </x:c>
      <x:c r="AP42" s="2" t="n">
        <x:f>COUNT($AR$10:$AR$37)</x:f>
        <x:v>26</x:v>
      </x:c>
      <x:c r="AQ42" s="2" t="n">
        <x:f>COUNT($AR$10:$AR$37)</x:f>
        <x:v>26</x:v>
      </x:c>
      <x:c r="AR42" s="2"/>
      <x:c r="AS42" s="2"/>
      <x:c r="AT42" s="2"/>
      <x:c r="AU42" s="2"/>
      <x:c r="AV42" s="2"/>
      <x:c r="AW42" s="2"/>
      <x:c r="AX42" s="2"/>
    </x:row>
    <x:row r="43" ht="25" customHeight="1">
      <x:c r="A43" s="2" t="str">
        <x:v>정답률</x:v>
      </x:c>
      <x:c r="B43" s="2"/>
      <x:c r="C43" s="2"/>
      <x:c r="D43" s="9" t="n">
        <x:f>IF(OR(D42=0,D45&lt;&gt;"등록"),"집계 보류",D41/D42)</x:f>
        <x:v>0.7692307692307693</x:v>
      </x:c>
      <x:c r="E43" s="9" t="n">
        <x:f>IF(OR(E42=0,E45&lt;&gt;"등록"),"집계 보류",E41/E42)</x:f>
        <x:v>0.5384615384615384</x:v>
      </x:c>
      <x:c r="F43" s="9" t="n">
        <x:f>IF(OR(F42=0,F45&lt;&gt;"등록"),"집계 보류",F41/F42)</x:f>
        <x:v>0.7307692307692307</x:v>
      </x:c>
      <x:c r="G43" s="9" t="n">
        <x:f>IF(OR(G42=0,G45&lt;&gt;"등록"),"집계 보류",G41/G42)</x:f>
        <x:v>0.6538461538461539</x:v>
      </x:c>
      <x:c r="H43" s="9" t="n">
        <x:f>IF(OR(H42=0,H45&lt;&gt;"등록"),"집계 보류",H41/H42)</x:f>
        <x:v>0.6538461538461539</x:v>
      </x:c>
      <x:c r="I43" s="9" t="n">
        <x:f>IF(OR(I42=0,I45&lt;&gt;"등록"),"집계 보류",I41/I42)</x:f>
        <x:v>0.46153846153846156</x:v>
      </x:c>
      <x:c r="J43" s="9" t="n">
        <x:f>IF(OR(J42=0,J45&lt;&gt;"등록"),"집계 보류",J41/J42)</x:f>
        <x:v>0.7307692307692307</x:v>
      </x:c>
      <x:c r="K43" s="9" t="n">
        <x:f>IF(OR(K42=0,K45&lt;&gt;"등록"),"집계 보류",K41/K42)</x:f>
        <x:v>0.6153846153846154</x:v>
      </x:c>
      <x:c r="L43" s="9" t="n">
        <x:f>IF(OR(L42=0,L45&lt;&gt;"등록"),"집계 보류",L41/L42)</x:f>
        <x:v>0.5769230769230769</x:v>
      </x:c>
      <x:c r="M43" s="9" t="n">
        <x:f>IF(OR(M42=0,M45&lt;&gt;"등록"),"집계 보류",M41/M42)</x:f>
        <x:v>0.6538461538461539</x:v>
      </x:c>
      <x:c r="N43" s="9" t="n">
        <x:f>IF(OR(N42=0,N45&lt;&gt;"등록"),"집계 보류",N41/N42)</x:f>
        <x:v>0.7307692307692307</x:v>
      </x:c>
      <x:c r="O43" s="9" t="n">
        <x:f>IF(OR(O42=0,O45&lt;&gt;"등록"),"집계 보류",O41/O42)</x:f>
        <x:v>0.5384615384615384</x:v>
      </x:c>
      <x:c r="P43" s="9" t="n">
        <x:f>IF(OR(P42=0,P45&lt;&gt;"등록"),"집계 보류",P41/P42)</x:f>
        <x:v>0.7307692307692307</x:v>
      </x:c>
      <x:c r="Q43" s="9" t="n">
        <x:f>IF(OR(Q42=0,Q45&lt;&gt;"등록"),"집계 보류",Q41/Q42)</x:f>
        <x:v>0.6538461538461539</x:v>
      </x:c>
      <x:c r="R43" s="9" t="n">
        <x:f>IF(OR(R42=0,R45&lt;&gt;"등록"),"집계 보류",R41/R42)</x:f>
        <x:v>0.6538461538461539</x:v>
      </x:c>
      <x:c r="S43" s="9" t="n">
        <x:f>IF(OR(S42=0,S45&lt;&gt;"등록"),"집계 보류",S41/S42)</x:f>
        <x:v>0.46153846153846156</x:v>
      </x:c>
      <x:c r="T43" s="9" t="n">
        <x:f>IF(OR(T42=0,T45&lt;&gt;"등록"),"집계 보류",T41/T42)</x:f>
        <x:v>0.7307692307692307</x:v>
      </x:c>
      <x:c r="U43" s="9" t="n">
        <x:f>IF(OR(U42=0,U45&lt;&gt;"등록"),"집계 보류",U41/U42)</x:f>
        <x:v>0.6153846153846154</x:v>
      </x:c>
      <x:c r="V43" s="9" t="n">
        <x:f>IF(OR(V42=0,V45&lt;&gt;"등록"),"집계 보류",V41/V42)</x:f>
        <x:v>0.5769230769230769</x:v>
      </x:c>
      <x:c r="W43" s="9" t="n">
        <x:f>IF(OR(W42=0,W45&lt;&gt;"등록"),"집계 보류",W41/W42)</x:f>
        <x:v>0.6538461538461539</x:v>
      </x:c>
      <x:c r="X43" s="9" t="n">
        <x:f>IF(OR(X42=0,X45&lt;&gt;"등록"),"집계 보류",X41/X42)</x:f>
        <x:v>0.7692307692307693</x:v>
      </x:c>
      <x:c r="Y43" s="9" t="n">
        <x:f>IF(OR(Y42=0,Y45&lt;&gt;"등록"),"집계 보류",Y41/Y42)</x:f>
        <x:v>0.5384615384615384</x:v>
      </x:c>
      <x:c r="Z43" s="9" t="n">
        <x:f>IF(OR(Z42=0,Z45&lt;&gt;"등록"),"집계 보류",Z41/Z42)</x:f>
        <x:v>0.7307692307692307</x:v>
      </x:c>
      <x:c r="AA43" s="9" t="n">
        <x:f>IF(OR(AA42=0,AA45&lt;&gt;"등록"),"집계 보류",AA41/AA42)</x:f>
        <x:v>0.6538461538461539</x:v>
      </x:c>
      <x:c r="AB43" s="9" t="n">
        <x:f>IF(OR(AB42=0,AB45&lt;&gt;"등록"),"집계 보류",AB41/AB42)</x:f>
        <x:v>0.6538461538461539</x:v>
      </x:c>
      <x:c r="AC43" s="9" t="n">
        <x:f>IF(OR(AC42=0,AC45&lt;&gt;"등록"),"집계 보류",AC41/AC42)</x:f>
        <x:v>0.46153846153846156</x:v>
      </x:c>
      <x:c r="AD43" s="9" t="n">
        <x:f>IF(OR(AD42=0,AD45&lt;&gt;"등록"),"집계 보류",AD41/AD42)</x:f>
        <x:v>0.7307692307692307</x:v>
      </x:c>
      <x:c r="AE43" s="9" t="n">
        <x:f>IF(OR(AE42=0,AE45&lt;&gt;"등록"),"집계 보류",AE41/AE42)</x:f>
        <x:v>0.6153846153846154</x:v>
      </x:c>
      <x:c r="AF43" s="9" t="n">
        <x:f>IF(OR(AF42=0,AF45&lt;&gt;"등록"),"집계 보류",AF41/AF42)</x:f>
        <x:v>0.5769230769230769</x:v>
      </x:c>
      <x:c r="AG43" s="9" t="n">
        <x:f>IF(OR(AG42=0,AG45&lt;&gt;"등록"),"집계 보류",AG41/AG42)</x:f>
        <x:v>0.6538461538461539</x:v>
      </x:c>
      <x:c r="AH43" s="9" t="n">
        <x:f>IF(OR(AH42=0,AH45&lt;&gt;"등록"),"집계 보류",AH41/AH42)</x:f>
        <x:v>0.7692307692307693</x:v>
      </x:c>
      <x:c r="AI43" s="9" t="n">
        <x:f>IF(OR(AI42=0,AI45&lt;&gt;"등록"),"집계 보류",AI41/AI42)</x:f>
        <x:v>0.5384615384615384</x:v>
      </x:c>
      <x:c r="AJ43" s="9" t="n">
        <x:f>IF(OR(AJ42=0,AJ45&lt;&gt;"등록"),"집계 보류",AJ41/AJ42)</x:f>
        <x:v>0.7307692307692307</x:v>
      </x:c>
      <x:c r="AK43" s="9" t="n">
        <x:f>IF(OR(AK42=0,AK45&lt;&gt;"등록"),"집계 보류",AK41/AK42)</x:f>
        <x:v>0.6538461538461539</x:v>
      </x:c>
      <x:c r="AL43" s="9" t="n">
        <x:f>IF(OR(AL42=0,AL45&lt;&gt;"등록"),"집계 보류",AL41/AL42)</x:f>
        <x:v>0.6538461538461539</x:v>
      </x:c>
      <x:c r="AM43" s="9" t="n">
        <x:f>IF(OR(AM42=0,AM45&lt;&gt;"등록"),"집계 보류",AM41/AM42)</x:f>
        <x:v>0.46153846153846156</x:v>
      </x:c>
      <x:c r="AN43" s="9" t="n">
        <x:f>IF(OR(AN42=0,AN45&lt;&gt;"등록"),"집계 보류",AN41/AN42)</x:f>
        <x:v>0.7307692307692307</x:v>
      </x:c>
      <x:c r="AO43" s="9" t="n">
        <x:f>IF(OR(AO42=0,AO45&lt;&gt;"등록"),"집계 보류",AO41/AO42)</x:f>
        <x:v>0.6153846153846154</x:v>
      </x:c>
      <x:c r="AP43" s="9" t="n">
        <x:f>IF(OR(AP42=0,AP45&lt;&gt;"등록"),"집계 보류",AP41/AP42)</x:f>
        <x:v>0.5769230769230769</x:v>
      </x:c>
      <x:c r="AQ43" s="9" t="n">
        <x:f>IF(OR(AQ42=0,AQ45&lt;&gt;"등록"),"집계 보류",AQ41/AQ42)</x:f>
        <x:v>0.6538461538461539</x:v>
      </x:c>
      <x:c r="AR43" s="2"/>
      <x:c r="AS43" s="2"/>
      <x:c r="AT43" s="2"/>
      <x:c r="AU43" s="2"/>
      <x:c r="AV43" s="2"/>
      <x:c r="AW43" s="2"/>
      <x:c r="AX43" s="2"/>
    </x:row>
    <x:row r="44" ht="25" customHeight="1">
      <x:c r="A44" s="2" t="str">
        <x:v>미응답 수</x:v>
      </x:c>
      <x:c r="B44" s="2"/>
      <x:c r="C44" s="2"/>
      <x:c r="D44" s="2" t="n">
        <x:f>COUNTIFS('채점내역'!D8:D35,"미응답",$AT$10:$AT$37,"미응답 포함")</x:f>
        <x:v>0</x:v>
      </x:c>
      <x:c r="E44" s="2" t="n">
        <x:f>COUNTIFS('채점내역'!E8:E35,"미응답",$AT$10:$AT$37,"미응답 포함")</x:f>
        <x:v>0</x:v>
      </x:c>
      <x:c r="F44" s="2" t="n">
        <x:f>COUNTIFS('채점내역'!F8:F35,"미응답",$AT$10:$AT$37,"미응답 포함")</x:f>
        <x:v>0</x:v>
      </x:c>
      <x:c r="G44" s="2" t="n">
        <x:f>COUNTIFS('채점내역'!G8:G35,"미응답",$AT$10:$AT$37,"미응답 포함")</x:f>
        <x:v>1</x:v>
      </x:c>
      <x:c r="H44" s="2" t="n">
        <x:f>COUNTIFS('채점내역'!H8:H35,"미응답",$AT$10:$AT$37,"미응답 포함")</x:f>
        <x:v>0</x:v>
      </x:c>
      <x:c r="I44" s="2" t="n">
        <x:f>COUNTIFS('채점내역'!I8:I35,"미응답",$AT$10:$AT$37,"미응답 포함")</x:f>
        <x:v>0</x:v>
      </x:c>
      <x:c r="J44" s="2" t="n">
        <x:f>COUNTIFS('채점내역'!J8:J35,"미응답",$AT$10:$AT$37,"미응답 포함")</x:f>
        <x:v>0</x:v>
      </x:c>
      <x:c r="K44" s="2" t="n">
        <x:f>COUNTIFS('채점내역'!K8:K35,"미응답",$AT$10:$AT$37,"미응답 포함")</x:f>
        <x:v>0</x:v>
      </x:c>
      <x:c r="L44" s="2" t="n">
        <x:f>COUNTIFS('채점내역'!L8:L35,"미응답",$AT$10:$AT$37,"미응답 포함")</x:f>
        <x:v>0</x:v>
      </x:c>
      <x:c r="M44" s="2" t="n">
        <x:f>COUNTIFS('채점내역'!M8:M35,"미응답",$AT$10:$AT$37,"미응답 포함")</x:f>
        <x:v>0</x:v>
      </x:c>
      <x:c r="N44" s="2" t="n">
        <x:f>COUNTIFS('채점내역'!N8:N35,"미응답",$AT$10:$AT$37,"미응답 포함")</x:f>
        <x:v>1</x:v>
      </x:c>
      <x:c r="O44" s="2" t="n">
        <x:f>COUNTIFS('채점내역'!O8:O35,"미응답",$AT$10:$AT$37,"미응답 포함")</x:f>
        <x:v>0</x:v>
      </x:c>
      <x:c r="P44" s="2" t="n">
        <x:f>COUNTIFS('채점내역'!P8:P35,"미응답",$AT$10:$AT$37,"미응답 포함")</x:f>
        <x:v>0</x:v>
      </x:c>
      <x:c r="Q44" s="2" t="n">
        <x:f>COUNTIFS('채점내역'!Q8:Q35,"미응답",$AT$10:$AT$37,"미응답 포함")</x:f>
        <x:v>0</x:v>
      </x:c>
      <x:c r="R44" s="2" t="n">
        <x:f>COUNTIFS('채점내역'!R8:R35,"미응답",$AT$10:$AT$37,"미응답 포함")</x:f>
        <x:v>0</x:v>
      </x:c>
      <x:c r="S44" s="2" t="n">
        <x:f>COUNTIFS('채점내역'!S8:S35,"미응답",$AT$10:$AT$37,"미응답 포함")</x:f>
        <x:v>0</x:v>
      </x:c>
      <x:c r="T44" s="2" t="n">
        <x:f>COUNTIFS('채점내역'!T8:T35,"미응답",$AT$10:$AT$37,"미응답 포함")</x:f>
        <x:v>0</x:v>
      </x:c>
      <x:c r="U44" s="2" t="n">
        <x:f>COUNTIFS('채점내역'!U8:U35,"미응답",$AT$10:$AT$37,"미응답 포함")</x:f>
        <x:v>0</x:v>
      </x:c>
      <x:c r="V44" s="2" t="n">
        <x:f>COUNTIFS('채점내역'!V8:V35,"미응답",$AT$10:$AT$37,"미응답 포함")</x:f>
        <x:v>0</x:v>
      </x:c>
      <x:c r="W44" s="2" t="n">
        <x:f>COUNTIFS('채점내역'!W8:W35,"미응답",$AT$10:$AT$37,"미응답 포함")</x:f>
        <x:v>0</x:v>
      </x:c>
      <x:c r="X44" s="2" t="n">
        <x:f>COUNTIFS('채점내역'!X8:X35,"미응답",$AT$10:$AT$37,"미응답 포함")</x:f>
        <x:v>0</x:v>
      </x:c>
      <x:c r="Y44" s="2" t="n">
        <x:f>COUNTIFS('채점내역'!Y8:Y35,"미응답",$AT$10:$AT$37,"미응답 포함")</x:f>
        <x:v>0</x:v>
      </x:c>
      <x:c r="Z44" s="2" t="n">
        <x:f>COUNTIFS('채점내역'!Z8:Z35,"미응답",$AT$10:$AT$37,"미응답 포함")</x:f>
        <x:v>0</x:v>
      </x:c>
      <x:c r="AA44" s="2" t="n">
        <x:f>COUNTIFS('채점내역'!AA8:AA35,"미응답",$AT$10:$AT$37,"미응답 포함")</x:f>
        <x:v>0</x:v>
      </x:c>
      <x:c r="AB44" s="2" t="n">
        <x:f>COUNTIFS('채점내역'!AB8:AB35,"미응답",$AT$10:$AT$37,"미응답 포함")</x:f>
        <x:v>0</x:v>
      </x:c>
      <x:c r="AC44" s="2" t="n">
        <x:f>COUNTIFS('채점내역'!AC8:AC35,"미응답",$AT$10:$AT$37,"미응답 포함")</x:f>
        <x:v>0</x:v>
      </x:c>
      <x:c r="AD44" s="2" t="n">
        <x:f>COUNTIFS('채점내역'!AD8:AD35,"미응답",$AT$10:$AT$37,"미응답 포함")</x:f>
        <x:v>0</x:v>
      </x:c>
      <x:c r="AE44" s="2" t="n">
        <x:f>COUNTIFS('채점내역'!AE8:AE35,"미응답",$AT$10:$AT$37,"미응답 포함")</x:f>
        <x:v>0</x:v>
      </x:c>
      <x:c r="AF44" s="2" t="n">
        <x:f>COUNTIFS('채점내역'!AF8:AF35,"미응답",$AT$10:$AT$37,"미응답 포함")</x:f>
        <x:v>0</x:v>
      </x:c>
      <x:c r="AG44" s="2" t="n">
        <x:f>COUNTIFS('채점내역'!AG8:AG35,"미응답",$AT$10:$AT$37,"미응답 포함")</x:f>
        <x:v>0</x:v>
      </x:c>
      <x:c r="AH44" s="2" t="n">
        <x:f>COUNTIFS('채점내역'!AH8:AH35,"미응답",$AT$10:$AT$37,"미응답 포함")</x:f>
        <x:v>0</x:v>
      </x:c>
      <x:c r="AI44" s="2" t="n">
        <x:f>COUNTIFS('채점내역'!AI8:AI35,"미응답",$AT$10:$AT$37,"미응답 포함")</x:f>
        <x:v>0</x:v>
      </x:c>
      <x:c r="AJ44" s="2" t="n">
        <x:f>COUNTIFS('채점내역'!AJ8:AJ35,"미응답",$AT$10:$AT$37,"미응답 포함")</x:f>
        <x:v>0</x:v>
      </x:c>
      <x:c r="AK44" s="2" t="n">
        <x:f>COUNTIFS('채점내역'!AK8:AK35,"미응답",$AT$10:$AT$37,"미응답 포함")</x:f>
        <x:v>0</x:v>
      </x:c>
      <x:c r="AL44" s="2" t="n">
        <x:f>COUNTIFS('채점내역'!AL8:AL35,"미응답",$AT$10:$AT$37,"미응답 포함")</x:f>
        <x:v>0</x:v>
      </x:c>
      <x:c r="AM44" s="2" t="n">
        <x:f>COUNTIFS('채점내역'!AM8:AM35,"미응답",$AT$10:$AT$37,"미응답 포함")</x:f>
        <x:v>0</x:v>
      </x:c>
      <x:c r="AN44" s="2" t="n">
        <x:f>COUNTIFS('채점내역'!AN8:AN35,"미응답",$AT$10:$AT$37,"미응답 포함")</x:f>
        <x:v>0</x:v>
      </x:c>
      <x:c r="AO44" s="2" t="n">
        <x:f>COUNTIFS('채점내역'!AO8:AO35,"미응답",$AT$10:$AT$37,"미응답 포함")</x:f>
        <x:v>0</x:v>
      </x:c>
      <x:c r="AP44" s="2" t="n">
        <x:f>COUNTIFS('채점내역'!AP8:AP35,"미응답",$AT$10:$AT$37,"미응답 포함")</x:f>
        <x:v>0</x:v>
      </x:c>
      <x:c r="AQ44" s="2" t="n">
        <x:f>COUNTIFS('채점내역'!AQ8:AQ35,"미응답",$AT$10:$AT$37,"미응답 포함")</x:f>
        <x:v>0</x:v>
      </x:c>
      <x:c r="AR44" s="2"/>
      <x:c r="AS44" s="2"/>
      <x:c r="AT44" s="2"/>
      <x:c r="AU44" s="2"/>
      <x:c r="AV44" s="2"/>
      <x:c r="AW44" s="2"/>
      <x:c r="AX44" s="2"/>
    </x:row>
    <x:row r="45" ht="25" customHeight="1">
      <x:c r="A45" s="2" t="str">
        <x:v>정답 확인</x:v>
      </x:c>
      <x:c r="B45" s="2"/>
      <x:c r="C45" s="2"/>
      <x:c r="D45" s="2" t="str">
        <x:f>IF(NOT(ISNUMBER(D8)),"확인",IF(AND(D8&gt;=1,D8&lt;=4,MOD(D8,1)=0),"등록","확인"))</x:f>
        <x:v>등록</x:v>
      </x:c>
      <x:c r="E45" s="2" t="str">
        <x:f>IF(NOT(ISNUMBER(E8)),"확인",IF(AND(E8&gt;=1,E8&lt;=4,MOD(E8,1)=0),"등록","확인"))</x:f>
        <x:v>등록</x:v>
      </x:c>
      <x:c r="F45" s="2" t="str">
        <x:f>IF(NOT(ISNUMBER(F8)),"확인",IF(AND(F8&gt;=1,F8&lt;=4,MOD(F8,1)=0),"등록","확인"))</x:f>
        <x:v>등록</x:v>
      </x:c>
      <x:c r="G45" s="2" t="str">
        <x:f>IF(NOT(ISNUMBER(G8)),"확인",IF(AND(G8&gt;=1,G8&lt;=4,MOD(G8,1)=0),"등록","확인"))</x:f>
        <x:v>등록</x:v>
      </x:c>
      <x:c r="H45" s="2" t="str">
        <x:f>IF(NOT(ISNUMBER(H8)),"확인",IF(AND(H8&gt;=1,H8&lt;=4,MOD(H8,1)=0),"등록","확인"))</x:f>
        <x:v>등록</x:v>
      </x:c>
      <x:c r="I45" s="2" t="str">
        <x:f>IF(NOT(ISNUMBER(I8)),"확인",IF(AND(I8&gt;=1,I8&lt;=4,MOD(I8,1)=0),"등록","확인"))</x:f>
        <x:v>등록</x:v>
      </x:c>
      <x:c r="J45" s="2" t="str">
        <x:f>IF(NOT(ISNUMBER(J8)),"확인",IF(AND(J8&gt;=1,J8&lt;=4,MOD(J8,1)=0),"등록","확인"))</x:f>
        <x:v>등록</x:v>
      </x:c>
      <x:c r="K45" s="2" t="str">
        <x:f>IF(NOT(ISNUMBER(K8)),"확인",IF(AND(K8&gt;=1,K8&lt;=4,MOD(K8,1)=0),"등록","확인"))</x:f>
        <x:v>등록</x:v>
      </x:c>
      <x:c r="L45" s="2" t="str">
        <x:f>IF(NOT(ISNUMBER(L8)),"확인",IF(AND(L8&gt;=1,L8&lt;=4,MOD(L8,1)=0),"등록","확인"))</x:f>
        <x:v>등록</x:v>
      </x:c>
      <x:c r="M45" s="2" t="str">
        <x:f>IF(NOT(ISNUMBER(M8)),"확인",IF(AND(M8&gt;=1,M8&lt;=4,MOD(M8,1)=0),"등록","확인"))</x:f>
        <x:v>등록</x:v>
      </x:c>
      <x:c r="N45" s="2" t="str">
        <x:f>IF(NOT(ISNUMBER(N8)),"확인",IF(AND(N8&gt;=1,N8&lt;=4,MOD(N8,1)=0),"등록","확인"))</x:f>
        <x:v>등록</x:v>
      </x:c>
      <x:c r="O45" s="2" t="str">
        <x:f>IF(NOT(ISNUMBER(O8)),"확인",IF(AND(O8&gt;=1,O8&lt;=4,MOD(O8,1)=0),"등록","확인"))</x:f>
        <x:v>등록</x:v>
      </x:c>
      <x:c r="P45" s="2" t="str">
        <x:f>IF(NOT(ISNUMBER(P8)),"확인",IF(AND(P8&gt;=1,P8&lt;=4,MOD(P8,1)=0),"등록","확인"))</x:f>
        <x:v>등록</x:v>
      </x:c>
      <x:c r="Q45" s="2" t="str">
        <x:f>IF(NOT(ISNUMBER(Q8)),"확인",IF(AND(Q8&gt;=1,Q8&lt;=4,MOD(Q8,1)=0),"등록","확인"))</x:f>
        <x:v>등록</x:v>
      </x:c>
      <x:c r="R45" s="2" t="str">
        <x:f>IF(NOT(ISNUMBER(R8)),"확인",IF(AND(R8&gt;=1,R8&lt;=4,MOD(R8,1)=0),"등록","확인"))</x:f>
        <x:v>등록</x:v>
      </x:c>
      <x:c r="S45" s="2" t="str">
        <x:f>IF(NOT(ISNUMBER(S8)),"확인",IF(AND(S8&gt;=1,S8&lt;=4,MOD(S8,1)=0),"등록","확인"))</x:f>
        <x:v>등록</x:v>
      </x:c>
      <x:c r="T45" s="2" t="str">
        <x:f>IF(NOT(ISNUMBER(T8)),"확인",IF(AND(T8&gt;=1,T8&lt;=4,MOD(T8,1)=0),"등록","확인"))</x:f>
        <x:v>등록</x:v>
      </x:c>
      <x:c r="U45" s="2" t="str">
        <x:f>IF(NOT(ISNUMBER(U8)),"확인",IF(AND(U8&gt;=1,U8&lt;=4,MOD(U8,1)=0),"등록","확인"))</x:f>
        <x:v>등록</x:v>
      </x:c>
      <x:c r="V45" s="2" t="str">
        <x:f>IF(NOT(ISNUMBER(V8)),"확인",IF(AND(V8&gt;=1,V8&lt;=4,MOD(V8,1)=0),"등록","확인"))</x:f>
        <x:v>등록</x:v>
      </x:c>
      <x:c r="W45" s="2" t="str">
        <x:f>IF(NOT(ISNUMBER(W8)),"확인",IF(AND(W8&gt;=1,W8&lt;=4,MOD(W8,1)=0),"등록","확인"))</x:f>
        <x:v>등록</x:v>
      </x:c>
      <x:c r="X45" s="2" t="str">
        <x:f>IF(NOT(ISNUMBER(X8)),"확인",IF(AND(X8&gt;=1,X8&lt;=4,MOD(X8,1)=0),"등록","확인"))</x:f>
        <x:v>등록</x:v>
      </x:c>
      <x:c r="Y45" s="2" t="str">
        <x:f>IF(NOT(ISNUMBER(Y8)),"확인",IF(AND(Y8&gt;=1,Y8&lt;=4,MOD(Y8,1)=0),"등록","확인"))</x:f>
        <x:v>등록</x:v>
      </x:c>
      <x:c r="Z45" s="2" t="str">
        <x:f>IF(NOT(ISNUMBER(Z8)),"확인",IF(AND(Z8&gt;=1,Z8&lt;=4,MOD(Z8,1)=0),"등록","확인"))</x:f>
        <x:v>등록</x:v>
      </x:c>
      <x:c r="AA45" s="2" t="str">
        <x:f>IF(NOT(ISNUMBER(AA8)),"확인",IF(AND(AA8&gt;=1,AA8&lt;=4,MOD(AA8,1)=0),"등록","확인"))</x:f>
        <x:v>등록</x:v>
      </x:c>
      <x:c r="AB45" s="2" t="str">
        <x:f>IF(NOT(ISNUMBER(AB8)),"확인",IF(AND(AB8&gt;=1,AB8&lt;=4,MOD(AB8,1)=0),"등록","확인"))</x:f>
        <x:v>등록</x:v>
      </x:c>
      <x:c r="AC45" s="2" t="str">
        <x:f>IF(NOT(ISNUMBER(AC8)),"확인",IF(AND(AC8&gt;=1,AC8&lt;=4,MOD(AC8,1)=0),"등록","확인"))</x:f>
        <x:v>등록</x:v>
      </x:c>
      <x:c r="AD45" s="2" t="str">
        <x:f>IF(NOT(ISNUMBER(AD8)),"확인",IF(AND(AD8&gt;=1,AD8&lt;=4,MOD(AD8,1)=0),"등록","확인"))</x:f>
        <x:v>등록</x:v>
      </x:c>
      <x:c r="AE45" s="2" t="str">
        <x:f>IF(NOT(ISNUMBER(AE8)),"확인",IF(AND(AE8&gt;=1,AE8&lt;=4,MOD(AE8,1)=0),"등록","확인"))</x:f>
        <x:v>등록</x:v>
      </x:c>
      <x:c r="AF45" s="2" t="str">
        <x:f>IF(NOT(ISNUMBER(AF8)),"확인",IF(AND(AF8&gt;=1,AF8&lt;=4,MOD(AF8,1)=0),"등록","확인"))</x:f>
        <x:v>등록</x:v>
      </x:c>
      <x:c r="AG45" s="2" t="str">
        <x:f>IF(NOT(ISNUMBER(AG8)),"확인",IF(AND(AG8&gt;=1,AG8&lt;=4,MOD(AG8,1)=0),"등록","확인"))</x:f>
        <x:v>등록</x:v>
      </x:c>
      <x:c r="AH45" s="2" t="str">
        <x:f>IF(NOT(ISNUMBER(AH8)),"확인",IF(AND(AH8&gt;=1,AH8&lt;=4,MOD(AH8,1)=0),"등록","확인"))</x:f>
        <x:v>등록</x:v>
      </x:c>
      <x:c r="AI45" s="2" t="str">
        <x:f>IF(NOT(ISNUMBER(AI8)),"확인",IF(AND(AI8&gt;=1,AI8&lt;=4,MOD(AI8,1)=0),"등록","확인"))</x:f>
        <x:v>등록</x:v>
      </x:c>
      <x:c r="AJ45" s="2" t="str">
        <x:f>IF(NOT(ISNUMBER(AJ8)),"확인",IF(AND(AJ8&gt;=1,AJ8&lt;=4,MOD(AJ8,1)=0),"등록","확인"))</x:f>
        <x:v>등록</x:v>
      </x:c>
      <x:c r="AK45" s="2" t="str">
        <x:f>IF(NOT(ISNUMBER(AK8)),"확인",IF(AND(AK8&gt;=1,AK8&lt;=4,MOD(AK8,1)=0),"등록","확인"))</x:f>
        <x:v>등록</x:v>
      </x:c>
      <x:c r="AL45" s="2" t="str">
        <x:f>IF(NOT(ISNUMBER(AL8)),"확인",IF(AND(AL8&gt;=1,AL8&lt;=4,MOD(AL8,1)=0),"등록","확인"))</x:f>
        <x:v>등록</x:v>
      </x:c>
      <x:c r="AM45" s="2" t="str">
        <x:f>IF(NOT(ISNUMBER(AM8)),"확인",IF(AND(AM8&gt;=1,AM8&lt;=4,MOD(AM8,1)=0),"등록","확인"))</x:f>
        <x:v>등록</x:v>
      </x:c>
      <x:c r="AN45" s="2" t="str">
        <x:f>IF(NOT(ISNUMBER(AN8)),"확인",IF(AND(AN8&gt;=1,AN8&lt;=4,MOD(AN8,1)=0),"등록","확인"))</x:f>
        <x:v>등록</x:v>
      </x:c>
      <x:c r="AO45" s="2" t="str">
        <x:f>IF(NOT(ISNUMBER(AO8)),"확인",IF(AND(AO8&gt;=1,AO8&lt;=4,MOD(AO8,1)=0),"등록","확인"))</x:f>
        <x:v>등록</x:v>
      </x:c>
      <x:c r="AP45" s="2" t="str">
        <x:f>IF(NOT(ISNUMBER(AP8)),"확인",IF(AND(AP8&gt;=1,AP8&lt;=4,MOD(AP8,1)=0),"등록","확인"))</x:f>
        <x:v>등록</x:v>
      </x:c>
      <x:c r="AQ45" s="2" t="str">
        <x:f>IF(NOT(ISNUMBER(AQ8)),"확인",IF(AND(AQ8&gt;=1,AQ8&lt;=4,MOD(AQ8,1)=0),"등록","확인"))</x:f>
        <x:v>등록</x:v>
      </x:c>
      <x:c r="AR45" s="2"/>
      <x:c r="AS45" s="2"/>
      <x:c r="AT45" s="2"/>
      <x:c r="AU45" s="2"/>
      <x:c r="AV45" s="2"/>
      <x:c r="AW45" s="2"/>
      <x:c r="AX45" s="2"/>
    </x:row>
    <x:row r="46" ht="2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</x:row>
    <x:row r="47" ht="2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</x:row>
    <x:row r="48" ht="25" customHeight="1">
      <x:c r="A48" s="2" t="str">
        <x:f>"정답률 분모: 입력 오류가 없는 응시자 "&amp;B5&amp;"명. 결시·입력 오류 행 제외, 미응답은 분모에 포함하며 0점 처리."</x:f>
        <x:v>정답률 분모: 입력 오류가 없는 응시자 26명. 결시·입력 오류 행 제외, 미응답은 분모에 포함하며 0점 처리.</x:v>
      </x:c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</x:row>
    <x:row r="49" ht="25" customHeight="1">
      <x:c r="A49" s="2" t="str">
        <x:v>동점 등수: 같은 점수는 같은 등수, 다음 등수는 인원수만큼 건너뜀. 결시·오류·정답 미등록은 총점과 등수 미확정.</x:v>
      </x:c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</x:row>
    <x:row r="50" ht="25" customHeight="1">
      <x:c r="A50" s="2" t="str">
        <x:v>실습: 정답 D8 변경 → 총점·동점 순위·정답률 재계산. L35의 9를 1~4로 수정 → 집계 대상 증가.</x:v>
      </x:c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</x:row>
    <x:row r="51" ht="2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</x:row>
  </x:sheetData>
  <x:conditionalFormatting sqref="D10:AQ37">
    <x:cfRule type="expression" dxfId="0" priority="1">
      <x:formula>AND($C10="응시",D$45="등록",ISNUMBER(D10),D10=D$8,D10&gt;=1,D10&lt;=4)</x:formula>
    </x:cfRule>
    <x:cfRule type="expression" dxfId="1" priority="2">
      <x:formula>IF(ISNUMBER(D10),AND($C10="응시",ISNUMBER(D$8),D10&lt;&gt;D$8,D10&gt;=1,D10&lt;=4,D$8&gt;=1,D$8&lt;=4,MOD(D10,1)=0),FALSE)</x:formula>
    </x:cfRule>
    <x:cfRule type="expression" dxfId="2" priority="3">
      <x:formula>AND($C10="응시",IF(ISNUMBER(D10),OR(D10&lt;1,D10&gt;4,MOD(D10,1)&lt;&gt;0),TRUE))</x:formula>
    </x:cfRule>
  </x:conditionalFormatting>
  <x:conditionalFormatting sqref="AT10:AT37">
    <x:cfRule type="expression" dxfId="3" priority="4">
      <x:formula>AND($AT10&lt;&gt;"채점 완료",$AT10&lt;&gt;"결시")</x:formula>
    </x:cfRule>
  </x:conditionalFormatting>
  <x:conditionalFormatting sqref="D8:AQ8">
    <x:cfRule type="expression" dxfId="4" priority="5">
      <x:formula>IF(ISNUMBER(D8),OR(D8&lt;1,D8&gt;4,MOD(D8,1)&lt;&gt;0),TRUE)</x:formula>
    </x:cfRule>
  </x:conditionalFormatting>
  <x:conditionalFormatting sqref="D43:AQ43">
    <x:cfRule type="expression" dxfId="5" priority="6">
      <x:formula>AND(ISNUMBER(D43),D43&lt;0.5)</x:formula>
    </x:cfRule>
  </x:conditionalFormatting>
  <x:dataValidations count="3">
    <x:dataValidation type="list" sqref="C10:C37">
      <x:formula1>"응시,결시"</x:formula1>
    </x:dataValidation>
    <x:dataValidation type="whole" operator="between" sqref="D8:AQ8">
      <x:formula1>1</x:formula1>
      <x:formula2>4</x:formula2>
    </x:dataValidation>
    <x:dataValidation type="whole" operator="between" sqref="D10:AQ37">
      <x:formula1>1</x:formula1>
      <x:formula2>4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44F"/>
  </x:sheetPr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3" hidden="0" customWidth="1"/>
    <x:col min="2" max="2" width="23" hidden="0" customWidth="1"/>
    <x:col min="3" max="3" width="1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</x:row>
    <x:row r="2" ht="32" customHeight="1">
      <x:c r="A2" s="3" t="str">
        <x:v>문항별 채점 내역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</x:row>
    <x:row r="3" ht="25" customHeight="1">
      <x:c r="A3" s="2" t="str">
        <x:v>입력 원본은 채점 시트. 이 시트는 문항별 판정 수식이며 총점·오류 집계의 근거입니다.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</x:row>
    <x:row r="4" ht="2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</x:row>
    <x:row r="7" ht="30" customHeight="1">
      <x:c r="A7" s="8" t="str">
        <x:v>학습자 ID</x:v>
      </x:c>
      <x:c r="B7" s="8" t="str">
        <x:v>응시 상태</x:v>
      </x:c>
      <x:c r="C7" s="8" t="str"/>
      <x:c r="D7" s="8" t="str">
        <x:v>1</x:v>
      </x:c>
      <x:c r="E7" s="8" t="str">
        <x:v>2</x:v>
      </x:c>
      <x:c r="F7" s="8" t="str">
        <x:v>3</x:v>
      </x:c>
      <x:c r="G7" s="8" t="str">
        <x:v>4</x:v>
      </x:c>
      <x:c r="H7" s="8" t="str">
        <x:v>5</x:v>
      </x:c>
      <x:c r="I7" s="8" t="str">
        <x:v>6</x:v>
      </x:c>
      <x:c r="J7" s="8" t="str">
        <x:v>7</x:v>
      </x:c>
      <x:c r="K7" s="8" t="str">
        <x:v>8</x:v>
      </x:c>
      <x:c r="L7" s="8" t="str">
        <x:v>9</x:v>
      </x:c>
      <x:c r="M7" s="8" t="str">
        <x:v>10</x:v>
      </x:c>
      <x:c r="N7" s="8" t="str">
        <x:v>11</x:v>
      </x:c>
      <x:c r="O7" s="8" t="str">
        <x:v>12</x:v>
      </x:c>
      <x:c r="P7" s="8" t="str">
        <x:v>13</x:v>
      </x:c>
      <x:c r="Q7" s="8" t="str">
        <x:v>14</x:v>
      </x:c>
      <x:c r="R7" s="8" t="str">
        <x:v>15</x:v>
      </x:c>
      <x:c r="S7" s="8" t="str">
        <x:v>16</x:v>
      </x:c>
      <x:c r="T7" s="8" t="str">
        <x:v>17</x:v>
      </x:c>
      <x:c r="U7" s="8" t="str">
        <x:v>18</x:v>
      </x:c>
      <x:c r="V7" s="8" t="str">
        <x:v>19</x:v>
      </x:c>
      <x:c r="W7" s="8" t="str">
        <x:v>20</x:v>
      </x:c>
      <x:c r="X7" s="8" t="str">
        <x:v>21</x:v>
      </x:c>
      <x:c r="Y7" s="8" t="str">
        <x:v>22</x:v>
      </x:c>
      <x:c r="Z7" s="8" t="str">
        <x:v>23</x:v>
      </x:c>
      <x:c r="AA7" s="8" t="str">
        <x:v>24</x:v>
      </x:c>
      <x:c r="AB7" s="8" t="str">
        <x:v>25</x:v>
      </x:c>
      <x:c r="AC7" s="8" t="str">
        <x:v>26</x:v>
      </x:c>
      <x:c r="AD7" s="8" t="str">
        <x:v>27</x:v>
      </x:c>
      <x:c r="AE7" s="8" t="str">
        <x:v>28</x:v>
      </x:c>
      <x:c r="AF7" s="8" t="str">
        <x:v>29</x:v>
      </x:c>
      <x:c r="AG7" s="8" t="str">
        <x:v>30</x:v>
      </x:c>
      <x:c r="AH7" s="8" t="str">
        <x:v>31</x:v>
      </x:c>
      <x:c r="AI7" s="8" t="str">
        <x:v>32</x:v>
      </x:c>
      <x:c r="AJ7" s="8" t="str">
        <x:v>33</x:v>
      </x:c>
      <x:c r="AK7" s="8" t="str">
        <x:v>34</x:v>
      </x:c>
      <x:c r="AL7" s="8" t="str">
        <x:v>35</x:v>
      </x:c>
      <x:c r="AM7" s="8" t="str">
        <x:v>36</x:v>
      </x:c>
      <x:c r="AN7" s="8" t="str">
        <x:v>37</x:v>
      </x:c>
      <x:c r="AO7" s="8" t="str">
        <x:v>38</x:v>
      </x:c>
      <x:c r="AP7" s="8" t="str">
        <x:v>39</x:v>
      </x:c>
      <x:c r="AQ7" s="8" t="str">
        <x:v>40</x:v>
      </x:c>
    </x:row>
    <x:row r="8" ht="25" customHeight="1">
      <x:c r="A8" s="2" t="str">
        <x:f>'채점'!A10</x:f>
        <x:v>S001</x:v>
      </x:c>
      <x:c r="B8" s="2" t="str">
        <x:f>'채점'!C10</x:f>
        <x:v>응시</x:v>
      </x:c>
      <x:c r="C8" s="2"/>
      <x:c r="D8" s="2" t="str">
        <x:f>IF('채점'!$C10="결시","결시",IF('채점'!D$45&lt;&gt;"등록","정답 미등록",IF('채점'!D10="","미응답",IF(NOT(ISNUMBER('채점'!D10)),"잘못된 입력",IF(OR('채점'!D10&lt;1,'채점'!D10&gt;4,MOD('채점'!D10,1)&lt;&gt;0),"잘못된 입력",IF('채점'!D10='채점'!D$8,"정답","오답"))))))</x:f>
        <x:v>정답</x:v>
      </x:c>
      <x:c r="E8" s="2" t="str">
        <x:f>IF('채점'!$C10="결시","결시",IF('채점'!E$45&lt;&gt;"등록","정답 미등록",IF('채점'!E10="","미응답",IF(NOT(ISNUMBER('채점'!E10)),"잘못된 입력",IF(OR('채점'!E10&lt;1,'채점'!E10&gt;4,MOD('채점'!E10,1)&lt;&gt;0),"잘못된 입력",IF('채점'!E10='채점'!E$8,"정답","오답"))))))</x:f>
        <x:v>오답</x:v>
      </x:c>
      <x:c r="F8" s="2" t="str">
        <x:f>IF('채점'!$C10="결시","결시",IF('채점'!F$45&lt;&gt;"등록","정답 미등록",IF('채점'!F10="","미응답",IF(NOT(ISNUMBER('채점'!F10)),"잘못된 입력",IF(OR('채점'!F10&lt;1,'채점'!F10&gt;4,MOD('채점'!F10,1)&lt;&gt;0),"잘못된 입력",IF('채점'!F10='채점'!F$8,"정답","오답"))))))</x:f>
        <x:v>정답</x:v>
      </x:c>
      <x:c r="G8" s="2" t="str">
        <x:f>IF('채점'!$C10="결시","결시",IF('채점'!G$45&lt;&gt;"등록","정답 미등록",IF('채점'!G10="","미응답",IF(NOT(ISNUMBER('채점'!G10)),"잘못된 입력",IF(OR('채점'!G10&lt;1,'채점'!G10&gt;4,MOD('채점'!G10,1)&lt;&gt;0),"잘못된 입력",IF('채점'!G10='채점'!G$8,"정답","오답"))))))</x:f>
        <x:v>정답</x:v>
      </x:c>
      <x:c r="H8" s="2" t="str">
        <x:f>IF('채점'!$C10="결시","결시",IF('채점'!H$45&lt;&gt;"등록","정답 미등록",IF('채점'!H10="","미응답",IF(NOT(ISNUMBER('채점'!H10)),"잘못된 입력",IF(OR('채점'!H10&lt;1,'채점'!H10&gt;4,MOD('채점'!H10,1)&lt;&gt;0),"잘못된 입력",IF('채점'!H10='채점'!H$8,"정답","오답"))))))</x:f>
        <x:v>오답</x:v>
      </x:c>
      <x:c r="I8" s="2" t="str">
        <x:f>IF('채점'!$C10="결시","결시",IF('채점'!I$45&lt;&gt;"등록","정답 미등록",IF('채점'!I10="","미응답",IF(NOT(ISNUMBER('채점'!I10)),"잘못된 입력",IF(OR('채점'!I10&lt;1,'채점'!I10&gt;4,MOD('채점'!I10,1)&lt;&gt;0),"잘못된 입력",IF('채점'!I10='채점'!I$8,"정답","오답"))))))</x:f>
        <x:v>오답</x:v>
      </x:c>
      <x:c r="J8" s="2" t="str">
        <x:f>IF('채점'!$C10="결시","결시",IF('채점'!J$45&lt;&gt;"등록","정답 미등록",IF('채점'!J10="","미응답",IF(NOT(ISNUMBER('채점'!J10)),"잘못된 입력",IF(OR('채점'!J10&lt;1,'채점'!J10&gt;4,MOD('채점'!J10,1)&lt;&gt;0),"잘못된 입력",IF('채점'!J10='채점'!J$8,"정답","오답"))))))</x:f>
        <x:v>정답</x:v>
      </x:c>
      <x:c r="K8" s="2" t="str">
        <x:f>IF('채점'!$C10="결시","결시",IF('채점'!K$45&lt;&gt;"등록","정답 미등록",IF('채점'!K10="","미응답",IF(NOT(ISNUMBER('채점'!K10)),"잘못된 입력",IF(OR('채점'!K10&lt;1,'채점'!K10&gt;4,MOD('채점'!K10,1)&lt;&gt;0),"잘못된 입력",IF('채점'!K10='채점'!K$8,"정답","오답"))))))</x:f>
        <x:v>오답</x:v>
      </x:c>
      <x:c r="L8" s="2" t="str">
        <x:f>IF('채점'!$C10="결시","결시",IF('채점'!L$45&lt;&gt;"등록","정답 미등록",IF('채점'!L10="","미응답",IF(NOT(ISNUMBER('채점'!L10)),"잘못된 입력",IF(OR('채점'!L10&lt;1,'채점'!L10&gt;4,MOD('채점'!L10,1)&lt;&gt;0),"잘못된 입력",IF('채점'!L10='채점'!L$8,"정답","오답"))))))</x:f>
        <x:v>오답</x:v>
      </x:c>
      <x:c r="M8" s="2" t="str">
        <x:f>IF('채점'!$C10="결시","결시",IF('채점'!M$45&lt;&gt;"등록","정답 미등록",IF('채점'!M10="","미응답",IF(NOT(ISNUMBER('채점'!M10)),"잘못된 입력",IF(OR('채점'!M10&lt;1,'채점'!M10&gt;4,MOD('채점'!M10,1)&lt;&gt;0),"잘못된 입력",IF('채점'!M10='채점'!M$8,"정답","오답"))))))</x:f>
        <x:v>정답</x:v>
      </x:c>
      <x:c r="N8" s="2" t="str">
        <x:f>IF('채점'!$C10="결시","결시",IF('채점'!N$45&lt;&gt;"등록","정답 미등록",IF('채점'!N10="","미응답",IF(NOT(ISNUMBER('채점'!N10)),"잘못된 입력",IF(OR('채점'!N10&lt;1,'채점'!N10&gt;4,MOD('채점'!N10,1)&lt;&gt;0),"잘못된 입력",IF('채점'!N10='채점'!N$8,"정답","오답"))))))</x:f>
        <x:v>정답</x:v>
      </x:c>
      <x:c r="O8" s="2" t="str">
        <x:f>IF('채점'!$C10="결시","결시",IF('채점'!O$45&lt;&gt;"등록","정답 미등록",IF('채점'!O10="","미응답",IF(NOT(ISNUMBER('채점'!O10)),"잘못된 입력",IF(OR('채점'!O10&lt;1,'채점'!O10&gt;4,MOD('채점'!O10,1)&lt;&gt;0),"잘못된 입력",IF('채점'!O10='채점'!O$8,"정답","오답"))))))</x:f>
        <x:v>오답</x:v>
      </x:c>
      <x:c r="P8" s="2" t="str">
        <x:f>IF('채점'!$C10="결시","결시",IF('채점'!P$45&lt;&gt;"등록","정답 미등록",IF('채점'!P10="","미응답",IF(NOT(ISNUMBER('채점'!P10)),"잘못된 입력",IF(OR('채점'!P10&lt;1,'채점'!P10&gt;4,MOD('채점'!P10,1)&lt;&gt;0),"잘못된 입력",IF('채점'!P10='채점'!P$8,"정답","오답"))))))</x:f>
        <x:v>정답</x:v>
      </x:c>
      <x:c r="Q8" s="2" t="str">
        <x:f>IF('채점'!$C10="결시","결시",IF('채점'!Q$45&lt;&gt;"등록","정답 미등록",IF('채점'!Q10="","미응답",IF(NOT(ISNUMBER('채점'!Q10)),"잘못된 입력",IF(OR('채점'!Q10&lt;1,'채점'!Q10&gt;4,MOD('채점'!Q10,1)&lt;&gt;0),"잘못된 입력",IF('채점'!Q10='채점'!Q$8,"정답","오답"))))))</x:f>
        <x:v>정답</x:v>
      </x:c>
      <x:c r="R8" s="2" t="str">
        <x:f>IF('채점'!$C10="결시","결시",IF('채점'!R$45&lt;&gt;"등록","정답 미등록",IF('채점'!R10="","미응답",IF(NOT(ISNUMBER('채점'!R10)),"잘못된 입력",IF(OR('채점'!R10&lt;1,'채점'!R10&gt;4,MOD('채점'!R10,1)&lt;&gt;0),"잘못된 입력",IF('채점'!R10='채점'!R$8,"정답","오답"))))))</x:f>
        <x:v>오답</x:v>
      </x:c>
      <x:c r="S8" s="2" t="str">
        <x:f>IF('채점'!$C10="결시","결시",IF('채점'!S$45&lt;&gt;"등록","정답 미등록",IF('채점'!S10="","미응답",IF(NOT(ISNUMBER('채점'!S10)),"잘못된 입력",IF(OR('채점'!S10&lt;1,'채점'!S10&gt;4,MOD('채점'!S10,1)&lt;&gt;0),"잘못된 입력",IF('채점'!S10='채점'!S$8,"정답","오답"))))))</x:f>
        <x:v>오답</x:v>
      </x:c>
      <x:c r="T8" s="2" t="str">
        <x:f>IF('채점'!$C10="결시","결시",IF('채점'!T$45&lt;&gt;"등록","정답 미등록",IF('채점'!T10="","미응답",IF(NOT(ISNUMBER('채점'!T10)),"잘못된 입력",IF(OR('채점'!T10&lt;1,'채점'!T10&gt;4,MOD('채점'!T10,1)&lt;&gt;0),"잘못된 입력",IF('채점'!T10='채점'!T$8,"정답","오답"))))))</x:f>
        <x:v>정답</x:v>
      </x:c>
      <x:c r="U8" s="2" t="str">
        <x:f>IF('채점'!$C10="결시","결시",IF('채점'!U$45&lt;&gt;"등록","정답 미등록",IF('채점'!U10="","미응답",IF(NOT(ISNUMBER('채점'!U10)),"잘못된 입력",IF(OR('채점'!U10&lt;1,'채점'!U10&gt;4,MOD('채점'!U10,1)&lt;&gt;0),"잘못된 입력",IF('채점'!U10='채점'!U$8,"정답","오답"))))))</x:f>
        <x:v>오답</x:v>
      </x:c>
      <x:c r="V8" s="2" t="str">
        <x:f>IF('채점'!$C10="결시","결시",IF('채점'!V$45&lt;&gt;"등록","정답 미등록",IF('채점'!V10="","미응답",IF(NOT(ISNUMBER('채점'!V10)),"잘못된 입력",IF(OR('채점'!V10&lt;1,'채점'!V10&gt;4,MOD('채점'!V10,1)&lt;&gt;0),"잘못된 입력",IF('채점'!V10='채점'!V$8,"정답","오답"))))))</x:f>
        <x:v>오답</x:v>
      </x:c>
      <x:c r="W8" s="2" t="str">
        <x:f>IF('채점'!$C10="결시","결시",IF('채점'!W$45&lt;&gt;"등록","정답 미등록",IF('채점'!W10="","미응답",IF(NOT(ISNUMBER('채점'!W10)),"잘못된 입력",IF(OR('채점'!W10&lt;1,'채점'!W10&gt;4,MOD('채점'!W10,1)&lt;&gt;0),"잘못된 입력",IF('채점'!W10='채점'!W$8,"정답","오답"))))))</x:f>
        <x:v>정답</x:v>
      </x:c>
      <x:c r="X8" s="2" t="str">
        <x:f>IF('채점'!$C10="결시","결시",IF('채점'!X$45&lt;&gt;"등록","정답 미등록",IF('채점'!X10="","미응답",IF(NOT(ISNUMBER('채점'!X10)),"잘못된 입력",IF(OR('채점'!X10&lt;1,'채점'!X10&gt;4,MOD('채점'!X10,1)&lt;&gt;0),"잘못된 입력",IF('채점'!X10='채점'!X$8,"정답","오답"))))))</x:f>
        <x:v>정답</x:v>
      </x:c>
      <x:c r="Y8" s="2" t="str">
        <x:f>IF('채점'!$C10="결시","결시",IF('채점'!Y$45&lt;&gt;"등록","정답 미등록",IF('채점'!Y10="","미응답",IF(NOT(ISNUMBER('채점'!Y10)),"잘못된 입력",IF(OR('채점'!Y10&lt;1,'채점'!Y10&gt;4,MOD('채점'!Y10,1)&lt;&gt;0),"잘못된 입력",IF('채점'!Y10='채점'!Y$8,"정답","오답"))))))</x:f>
        <x:v>오답</x:v>
      </x:c>
      <x:c r="Z8" s="2" t="str">
        <x:f>IF('채점'!$C10="결시","결시",IF('채점'!Z$45&lt;&gt;"등록","정답 미등록",IF('채점'!Z10="","미응답",IF(NOT(ISNUMBER('채점'!Z10)),"잘못된 입력",IF(OR('채점'!Z10&lt;1,'채점'!Z10&gt;4,MOD('채점'!Z10,1)&lt;&gt;0),"잘못된 입력",IF('채점'!Z10='채점'!Z$8,"정답","오답"))))))</x:f>
        <x:v>정답</x:v>
      </x:c>
      <x:c r="AA8" s="2" t="str">
        <x:f>IF('채점'!$C10="결시","결시",IF('채점'!AA$45&lt;&gt;"등록","정답 미등록",IF('채점'!AA10="","미응답",IF(NOT(ISNUMBER('채점'!AA10)),"잘못된 입력",IF(OR('채점'!AA10&lt;1,'채점'!AA10&gt;4,MOD('채점'!AA10,1)&lt;&gt;0),"잘못된 입력",IF('채점'!AA10='채점'!AA$8,"정답","오답"))))))</x:f>
        <x:v>정답</x:v>
      </x:c>
      <x:c r="AB8" s="2" t="str">
        <x:f>IF('채점'!$C10="결시","결시",IF('채점'!AB$45&lt;&gt;"등록","정답 미등록",IF('채점'!AB10="","미응답",IF(NOT(ISNUMBER('채점'!AB10)),"잘못된 입력",IF(OR('채점'!AB10&lt;1,'채점'!AB10&gt;4,MOD('채점'!AB10,1)&lt;&gt;0),"잘못된 입력",IF('채점'!AB10='채점'!AB$8,"정답","오답"))))))</x:f>
        <x:v>오답</x:v>
      </x:c>
      <x:c r="AC8" s="2" t="str">
        <x:f>IF('채점'!$C10="결시","결시",IF('채점'!AC$45&lt;&gt;"등록","정답 미등록",IF('채점'!AC10="","미응답",IF(NOT(ISNUMBER('채점'!AC10)),"잘못된 입력",IF(OR('채점'!AC10&lt;1,'채점'!AC10&gt;4,MOD('채점'!AC10,1)&lt;&gt;0),"잘못된 입력",IF('채점'!AC10='채점'!AC$8,"정답","오답"))))))</x:f>
        <x:v>오답</x:v>
      </x:c>
      <x:c r="AD8" s="2" t="str">
        <x:f>IF('채점'!$C10="결시","결시",IF('채점'!AD$45&lt;&gt;"등록","정답 미등록",IF('채점'!AD10="","미응답",IF(NOT(ISNUMBER('채점'!AD10)),"잘못된 입력",IF(OR('채점'!AD10&lt;1,'채점'!AD10&gt;4,MOD('채점'!AD10,1)&lt;&gt;0),"잘못된 입력",IF('채점'!AD10='채점'!AD$8,"정답","오답"))))))</x:f>
        <x:v>정답</x:v>
      </x:c>
      <x:c r="AE8" s="2" t="str">
        <x:f>IF('채점'!$C10="결시","결시",IF('채점'!AE$45&lt;&gt;"등록","정답 미등록",IF('채점'!AE10="","미응답",IF(NOT(ISNUMBER('채점'!AE10)),"잘못된 입력",IF(OR('채점'!AE10&lt;1,'채점'!AE10&gt;4,MOD('채점'!AE10,1)&lt;&gt;0),"잘못된 입력",IF('채점'!AE10='채점'!AE$8,"정답","오답"))))))</x:f>
        <x:v>오답</x:v>
      </x:c>
      <x:c r="AF8" s="2" t="str">
        <x:f>IF('채점'!$C10="결시","결시",IF('채점'!AF$45&lt;&gt;"등록","정답 미등록",IF('채점'!AF10="","미응답",IF(NOT(ISNUMBER('채점'!AF10)),"잘못된 입력",IF(OR('채점'!AF10&lt;1,'채점'!AF10&gt;4,MOD('채점'!AF10,1)&lt;&gt;0),"잘못된 입력",IF('채점'!AF10='채점'!AF$8,"정답","오답"))))))</x:f>
        <x:v>오답</x:v>
      </x:c>
      <x:c r="AG8" s="2" t="str">
        <x:f>IF('채점'!$C10="결시","결시",IF('채점'!AG$45&lt;&gt;"등록","정답 미등록",IF('채점'!AG10="","미응답",IF(NOT(ISNUMBER('채점'!AG10)),"잘못된 입력",IF(OR('채점'!AG10&lt;1,'채점'!AG10&gt;4,MOD('채점'!AG10,1)&lt;&gt;0),"잘못된 입력",IF('채점'!AG10='채점'!AG$8,"정답","오답"))))))</x:f>
        <x:v>정답</x:v>
      </x:c>
      <x:c r="AH8" s="2" t="str">
        <x:f>IF('채점'!$C10="결시","결시",IF('채점'!AH$45&lt;&gt;"등록","정답 미등록",IF('채점'!AH10="","미응답",IF(NOT(ISNUMBER('채점'!AH10)),"잘못된 입력",IF(OR('채점'!AH10&lt;1,'채점'!AH10&gt;4,MOD('채점'!AH10,1)&lt;&gt;0),"잘못된 입력",IF('채점'!AH10='채점'!AH$8,"정답","오답"))))))</x:f>
        <x:v>정답</x:v>
      </x:c>
      <x:c r="AI8" s="2" t="str">
        <x:f>IF('채점'!$C10="결시","결시",IF('채점'!AI$45&lt;&gt;"등록","정답 미등록",IF('채점'!AI10="","미응답",IF(NOT(ISNUMBER('채점'!AI10)),"잘못된 입력",IF(OR('채점'!AI10&lt;1,'채점'!AI10&gt;4,MOD('채점'!AI10,1)&lt;&gt;0),"잘못된 입력",IF('채점'!AI10='채점'!AI$8,"정답","오답"))))))</x:f>
        <x:v>오답</x:v>
      </x:c>
      <x:c r="AJ8" s="2" t="str">
        <x:f>IF('채점'!$C10="결시","결시",IF('채점'!AJ$45&lt;&gt;"등록","정답 미등록",IF('채점'!AJ10="","미응답",IF(NOT(ISNUMBER('채점'!AJ10)),"잘못된 입력",IF(OR('채점'!AJ10&lt;1,'채점'!AJ10&gt;4,MOD('채점'!AJ10,1)&lt;&gt;0),"잘못된 입력",IF('채점'!AJ10='채점'!AJ$8,"정답","오답"))))))</x:f>
        <x:v>정답</x:v>
      </x:c>
      <x:c r="AK8" s="2" t="str">
        <x:f>IF('채점'!$C10="결시","결시",IF('채점'!AK$45&lt;&gt;"등록","정답 미등록",IF('채점'!AK10="","미응답",IF(NOT(ISNUMBER('채점'!AK10)),"잘못된 입력",IF(OR('채점'!AK10&lt;1,'채점'!AK10&gt;4,MOD('채점'!AK10,1)&lt;&gt;0),"잘못된 입력",IF('채점'!AK10='채점'!AK$8,"정답","오답"))))))</x:f>
        <x:v>정답</x:v>
      </x:c>
      <x:c r="AL8" s="2" t="str">
        <x:f>IF('채점'!$C10="결시","결시",IF('채점'!AL$45&lt;&gt;"등록","정답 미등록",IF('채점'!AL10="","미응답",IF(NOT(ISNUMBER('채점'!AL10)),"잘못된 입력",IF(OR('채점'!AL10&lt;1,'채점'!AL10&gt;4,MOD('채점'!AL10,1)&lt;&gt;0),"잘못된 입력",IF('채점'!AL10='채점'!AL$8,"정답","오답"))))))</x:f>
        <x:v>오답</x:v>
      </x:c>
      <x:c r="AM8" s="2" t="str">
        <x:f>IF('채점'!$C10="결시","결시",IF('채점'!AM$45&lt;&gt;"등록","정답 미등록",IF('채점'!AM10="","미응답",IF(NOT(ISNUMBER('채점'!AM10)),"잘못된 입력",IF(OR('채점'!AM10&lt;1,'채점'!AM10&gt;4,MOD('채점'!AM10,1)&lt;&gt;0),"잘못된 입력",IF('채점'!AM10='채점'!AM$8,"정답","오답"))))))</x:f>
        <x:v>오답</x:v>
      </x:c>
      <x:c r="AN8" s="2" t="str">
        <x:f>IF('채점'!$C10="결시","결시",IF('채점'!AN$45&lt;&gt;"등록","정답 미등록",IF('채점'!AN10="","미응답",IF(NOT(ISNUMBER('채점'!AN10)),"잘못된 입력",IF(OR('채점'!AN10&lt;1,'채점'!AN10&gt;4,MOD('채점'!AN10,1)&lt;&gt;0),"잘못된 입력",IF('채점'!AN10='채점'!AN$8,"정답","오답"))))))</x:f>
        <x:v>정답</x:v>
      </x:c>
      <x:c r="AO8" s="2" t="str">
        <x:f>IF('채점'!$C10="결시","결시",IF('채점'!AO$45&lt;&gt;"등록","정답 미등록",IF('채점'!AO10="","미응답",IF(NOT(ISNUMBER('채점'!AO10)),"잘못된 입력",IF(OR('채점'!AO10&lt;1,'채점'!AO10&gt;4,MOD('채점'!AO10,1)&lt;&gt;0),"잘못된 입력",IF('채점'!AO10='채점'!AO$8,"정답","오답"))))))</x:f>
        <x:v>오답</x:v>
      </x:c>
      <x:c r="AP8" s="2" t="str">
        <x:f>IF('채점'!$C10="결시","결시",IF('채점'!AP$45&lt;&gt;"등록","정답 미등록",IF('채점'!AP10="","미응답",IF(NOT(ISNUMBER('채점'!AP10)),"잘못된 입력",IF(OR('채점'!AP10&lt;1,'채점'!AP10&gt;4,MOD('채점'!AP10,1)&lt;&gt;0),"잘못된 입력",IF('채점'!AP10='채점'!AP$8,"정답","오답"))))))</x:f>
        <x:v>오답</x:v>
      </x:c>
      <x:c r="AQ8" s="2" t="str">
        <x:f>IF('채점'!$C10="결시","결시",IF('채점'!AQ$45&lt;&gt;"등록","정답 미등록",IF('채점'!AQ10="","미응답",IF(NOT(ISNUMBER('채점'!AQ10)),"잘못된 입력",IF(OR('채점'!AQ10&lt;1,'채점'!AQ10&gt;4,MOD('채점'!AQ10,1)&lt;&gt;0),"잘못된 입력",IF('채점'!AQ10='채점'!AQ$8,"정답","오답"))))))</x:f>
        <x:v>정답</x:v>
      </x:c>
    </x:row>
    <x:row r="9" ht="25" customHeight="1">
      <x:c r="A9" s="2" t="str">
        <x:f>'채점'!A11</x:f>
        <x:v>S002</x:v>
      </x:c>
      <x:c r="B9" s="2" t="str">
        <x:f>'채점'!C11</x:f>
        <x:v>응시</x:v>
      </x:c>
      <x:c r="C9" s="2"/>
      <x:c r="D9" s="2" t="str">
        <x:f>IF('채점'!$C11="결시","결시",IF('채점'!D$45&lt;&gt;"등록","정답 미등록",IF('채점'!D11="","미응답",IF(NOT(ISNUMBER('채점'!D11)),"잘못된 입력",IF(OR('채점'!D11&lt;1,'채점'!D11&gt;4,MOD('채점'!D11,1)&lt;&gt;0),"잘못된 입력",IF('채점'!D11='채점'!D$8,"정답","오답"))))))</x:f>
        <x:v>정답</x:v>
      </x:c>
      <x:c r="E9" s="2" t="str">
        <x:f>IF('채점'!$C11="결시","결시",IF('채점'!E$45&lt;&gt;"등록","정답 미등록",IF('채점'!E11="","미응답",IF(NOT(ISNUMBER('채점'!E11)),"잘못된 입력",IF(OR('채점'!E11&lt;1,'채점'!E11&gt;4,MOD('채점'!E11,1)&lt;&gt;0),"잘못된 입력",IF('채점'!E11='채점'!E$8,"정답","오답"))))))</x:f>
        <x:v>오답</x:v>
      </x:c>
      <x:c r="F9" s="2" t="str">
        <x:f>IF('채점'!$C11="결시","결시",IF('채점'!F$45&lt;&gt;"등록","정답 미등록",IF('채점'!F11="","미응답",IF(NOT(ISNUMBER('채점'!F11)),"잘못된 입력",IF(OR('채점'!F11&lt;1,'채점'!F11&gt;4,MOD('채점'!F11,1)&lt;&gt;0),"잘못된 입력",IF('채점'!F11='채점'!F$8,"정답","오답"))))))</x:f>
        <x:v>정답</x:v>
      </x:c>
      <x:c r="G9" s="2" t="str">
        <x:f>IF('채점'!$C11="결시","결시",IF('채점'!G$45&lt;&gt;"등록","정답 미등록",IF('채점'!G11="","미응답",IF(NOT(ISNUMBER('채점'!G11)),"잘못된 입력",IF(OR('채점'!G11&lt;1,'채점'!G11&gt;4,MOD('채점'!G11,1)&lt;&gt;0),"잘못된 입력",IF('채점'!G11='채점'!G$8,"정답","오답"))))))</x:f>
        <x:v>정답</x:v>
      </x:c>
      <x:c r="H9" s="2" t="str">
        <x:f>IF('채점'!$C11="결시","결시",IF('채점'!H$45&lt;&gt;"등록","정답 미등록",IF('채점'!H11="","미응답",IF(NOT(ISNUMBER('채점'!H11)),"잘못된 입력",IF(OR('채점'!H11&lt;1,'채점'!H11&gt;4,MOD('채점'!H11,1)&lt;&gt;0),"잘못된 입력",IF('채점'!H11='채점'!H$8,"정답","오답"))))))</x:f>
        <x:v>오답</x:v>
      </x:c>
      <x:c r="I9" s="2" t="str">
        <x:f>IF('채점'!$C11="결시","결시",IF('채점'!I$45&lt;&gt;"등록","정답 미등록",IF('채점'!I11="","미응답",IF(NOT(ISNUMBER('채점'!I11)),"잘못된 입력",IF(OR('채점'!I11&lt;1,'채점'!I11&gt;4,MOD('채점'!I11,1)&lt;&gt;0),"잘못된 입력",IF('채점'!I11='채점'!I$8,"정답","오답"))))))</x:f>
        <x:v>오답</x:v>
      </x:c>
      <x:c r="J9" s="2" t="str">
        <x:f>IF('채점'!$C11="결시","결시",IF('채점'!J$45&lt;&gt;"등록","정답 미등록",IF('채점'!J11="","미응답",IF(NOT(ISNUMBER('채점'!J11)),"잘못된 입력",IF(OR('채점'!J11&lt;1,'채점'!J11&gt;4,MOD('채점'!J11,1)&lt;&gt;0),"잘못된 입력",IF('채점'!J11='채점'!J$8,"정답","오답"))))))</x:f>
        <x:v>정답</x:v>
      </x:c>
      <x:c r="K9" s="2" t="str">
        <x:f>IF('채점'!$C11="결시","결시",IF('채점'!K$45&lt;&gt;"등록","정답 미등록",IF('채점'!K11="","미응답",IF(NOT(ISNUMBER('채점'!K11)),"잘못된 입력",IF(OR('채점'!K11&lt;1,'채점'!K11&gt;4,MOD('채점'!K11,1)&lt;&gt;0),"잘못된 입력",IF('채점'!K11='채점'!K$8,"정답","오답"))))))</x:f>
        <x:v>정답</x:v>
      </x:c>
      <x:c r="L9" s="2" t="str">
        <x:f>IF('채점'!$C11="결시","결시",IF('채점'!L$45&lt;&gt;"등록","정답 미등록",IF('채점'!L11="","미응답",IF(NOT(ISNUMBER('채점'!L11)),"잘못된 입력",IF(OR('채점'!L11&lt;1,'채점'!L11&gt;4,MOD('채점'!L11,1)&lt;&gt;0),"잘못된 입력",IF('채점'!L11='채점'!L$8,"정답","오답"))))))</x:f>
        <x:v>오답</x:v>
      </x:c>
      <x:c r="M9" s="2" t="str">
        <x:f>IF('채점'!$C11="결시","결시",IF('채점'!M$45&lt;&gt;"등록","정답 미등록",IF('채점'!M11="","미응답",IF(NOT(ISNUMBER('채점'!M11)),"잘못된 입력",IF(OR('채점'!M11&lt;1,'채점'!M11&gt;4,MOD('채점'!M11,1)&lt;&gt;0),"잘못된 입력",IF('채점'!M11='채점'!M$8,"정답","오답"))))))</x:f>
        <x:v>정답</x:v>
      </x:c>
      <x:c r="N9" s="2" t="str">
        <x:f>IF('채점'!$C11="결시","결시",IF('채점'!N$45&lt;&gt;"등록","정답 미등록",IF('채점'!N11="","미응답",IF(NOT(ISNUMBER('채점'!N11)),"잘못된 입력",IF(OR('채점'!N11&lt;1,'채점'!N11&gt;4,MOD('채점'!N11,1)&lt;&gt;0),"잘못된 입력",IF('채점'!N11='채점'!N$8,"정답","오답"))))))</x:f>
        <x:v>정답</x:v>
      </x:c>
      <x:c r="O9" s="2" t="str">
        <x:f>IF('채점'!$C11="결시","결시",IF('채점'!O$45&lt;&gt;"등록","정답 미등록",IF('채점'!O11="","미응답",IF(NOT(ISNUMBER('채점'!O11)),"잘못된 입력",IF(OR('채점'!O11&lt;1,'채점'!O11&gt;4,MOD('채점'!O11,1)&lt;&gt;0),"잘못된 입력",IF('채점'!O11='채점'!O$8,"정답","오답"))))))</x:f>
        <x:v>오답</x:v>
      </x:c>
      <x:c r="P9" s="2" t="str">
        <x:f>IF('채점'!$C11="결시","결시",IF('채점'!P$45&lt;&gt;"등록","정답 미등록",IF('채점'!P11="","미응답",IF(NOT(ISNUMBER('채점'!P11)),"잘못된 입력",IF(OR('채점'!P11&lt;1,'채점'!P11&gt;4,MOD('채점'!P11,1)&lt;&gt;0),"잘못된 입력",IF('채점'!P11='채점'!P$8,"정답","오답"))))))</x:f>
        <x:v>정답</x:v>
      </x:c>
      <x:c r="Q9" s="2" t="str">
        <x:f>IF('채점'!$C11="결시","결시",IF('채점'!Q$45&lt;&gt;"등록","정답 미등록",IF('채점'!Q11="","미응답",IF(NOT(ISNUMBER('채점'!Q11)),"잘못된 입력",IF(OR('채점'!Q11&lt;1,'채점'!Q11&gt;4,MOD('채점'!Q11,1)&lt;&gt;0),"잘못된 입력",IF('채점'!Q11='채점'!Q$8,"정답","오답"))))))</x:f>
        <x:v>정답</x:v>
      </x:c>
      <x:c r="R9" s="2" t="str">
        <x:f>IF('채점'!$C11="결시","결시",IF('채점'!R$45&lt;&gt;"등록","정답 미등록",IF('채점'!R11="","미응답",IF(NOT(ISNUMBER('채점'!R11)),"잘못된 입력",IF(OR('채점'!R11&lt;1,'채점'!R11&gt;4,MOD('채점'!R11,1)&lt;&gt;0),"잘못된 입력",IF('채점'!R11='채점'!R$8,"정답","오답"))))))</x:f>
        <x:v>오답</x:v>
      </x:c>
      <x:c r="S9" s="2" t="str">
        <x:f>IF('채점'!$C11="결시","결시",IF('채점'!S$45&lt;&gt;"등록","정답 미등록",IF('채점'!S11="","미응답",IF(NOT(ISNUMBER('채점'!S11)),"잘못된 입력",IF(OR('채점'!S11&lt;1,'채점'!S11&gt;4,MOD('채점'!S11,1)&lt;&gt;0),"잘못된 입력",IF('채점'!S11='채점'!S$8,"정답","오답"))))))</x:f>
        <x:v>오답</x:v>
      </x:c>
      <x:c r="T9" s="2" t="str">
        <x:f>IF('채점'!$C11="결시","결시",IF('채점'!T$45&lt;&gt;"등록","정답 미등록",IF('채점'!T11="","미응답",IF(NOT(ISNUMBER('채점'!T11)),"잘못된 입력",IF(OR('채점'!T11&lt;1,'채점'!T11&gt;4,MOD('채점'!T11,1)&lt;&gt;0),"잘못된 입력",IF('채점'!T11='채점'!T$8,"정답","오답"))))))</x:f>
        <x:v>정답</x:v>
      </x:c>
      <x:c r="U9" s="2" t="str">
        <x:f>IF('채점'!$C11="결시","결시",IF('채점'!U$45&lt;&gt;"등록","정답 미등록",IF('채점'!U11="","미응답",IF(NOT(ISNUMBER('채점'!U11)),"잘못된 입력",IF(OR('채점'!U11&lt;1,'채점'!U11&gt;4,MOD('채점'!U11,1)&lt;&gt;0),"잘못된 입력",IF('채점'!U11='채점'!U$8,"정답","오답"))))))</x:f>
        <x:v>정답</x:v>
      </x:c>
      <x:c r="V9" s="2" t="str">
        <x:f>IF('채점'!$C11="결시","결시",IF('채점'!V$45&lt;&gt;"등록","정답 미등록",IF('채점'!V11="","미응답",IF(NOT(ISNUMBER('채점'!V11)),"잘못된 입력",IF(OR('채점'!V11&lt;1,'채점'!V11&gt;4,MOD('채점'!V11,1)&lt;&gt;0),"잘못된 입력",IF('채점'!V11='채점'!V$8,"정답","오답"))))))</x:f>
        <x:v>오답</x:v>
      </x:c>
      <x:c r="W9" s="2" t="str">
        <x:f>IF('채점'!$C11="결시","결시",IF('채점'!W$45&lt;&gt;"등록","정답 미등록",IF('채점'!W11="","미응답",IF(NOT(ISNUMBER('채점'!W11)),"잘못된 입력",IF(OR('채점'!W11&lt;1,'채점'!W11&gt;4,MOD('채점'!W11,1)&lt;&gt;0),"잘못된 입력",IF('채점'!W11='채점'!W$8,"정답","오답"))))))</x:f>
        <x:v>정답</x:v>
      </x:c>
      <x:c r="X9" s="2" t="str">
        <x:f>IF('채점'!$C11="결시","결시",IF('채점'!X$45&lt;&gt;"등록","정답 미등록",IF('채점'!X11="","미응답",IF(NOT(ISNUMBER('채점'!X11)),"잘못된 입력",IF(OR('채점'!X11&lt;1,'채점'!X11&gt;4,MOD('채점'!X11,1)&lt;&gt;0),"잘못된 입력",IF('채점'!X11='채점'!X$8,"정답","오답"))))))</x:f>
        <x:v>정답</x:v>
      </x:c>
      <x:c r="Y9" s="2" t="str">
        <x:f>IF('채점'!$C11="결시","결시",IF('채점'!Y$45&lt;&gt;"등록","정답 미등록",IF('채점'!Y11="","미응답",IF(NOT(ISNUMBER('채점'!Y11)),"잘못된 입력",IF(OR('채점'!Y11&lt;1,'채점'!Y11&gt;4,MOD('채점'!Y11,1)&lt;&gt;0),"잘못된 입력",IF('채점'!Y11='채점'!Y$8,"정답","오답"))))))</x:f>
        <x:v>오답</x:v>
      </x:c>
      <x:c r="Z9" s="2" t="str">
        <x:f>IF('채점'!$C11="결시","결시",IF('채점'!Z$45&lt;&gt;"등록","정답 미등록",IF('채점'!Z11="","미응답",IF(NOT(ISNUMBER('채점'!Z11)),"잘못된 입력",IF(OR('채점'!Z11&lt;1,'채점'!Z11&gt;4,MOD('채점'!Z11,1)&lt;&gt;0),"잘못된 입력",IF('채점'!Z11='채점'!Z$8,"정답","오답"))))))</x:f>
        <x:v>정답</x:v>
      </x:c>
      <x:c r="AA9" s="2" t="str">
        <x:f>IF('채점'!$C11="결시","결시",IF('채점'!AA$45&lt;&gt;"등록","정답 미등록",IF('채점'!AA11="","미응답",IF(NOT(ISNUMBER('채점'!AA11)),"잘못된 입력",IF(OR('채점'!AA11&lt;1,'채점'!AA11&gt;4,MOD('채점'!AA11,1)&lt;&gt;0),"잘못된 입력",IF('채점'!AA11='채점'!AA$8,"정답","오답"))))))</x:f>
        <x:v>정답</x:v>
      </x:c>
      <x:c r="AB9" s="2" t="str">
        <x:f>IF('채점'!$C11="결시","결시",IF('채점'!AB$45&lt;&gt;"등록","정답 미등록",IF('채점'!AB11="","미응답",IF(NOT(ISNUMBER('채점'!AB11)),"잘못된 입력",IF(OR('채점'!AB11&lt;1,'채점'!AB11&gt;4,MOD('채점'!AB11,1)&lt;&gt;0),"잘못된 입력",IF('채점'!AB11='채점'!AB$8,"정답","오답"))))))</x:f>
        <x:v>오답</x:v>
      </x:c>
      <x:c r="AC9" s="2" t="str">
        <x:f>IF('채점'!$C11="결시","결시",IF('채점'!AC$45&lt;&gt;"등록","정답 미등록",IF('채점'!AC11="","미응답",IF(NOT(ISNUMBER('채점'!AC11)),"잘못된 입력",IF(OR('채점'!AC11&lt;1,'채점'!AC11&gt;4,MOD('채점'!AC11,1)&lt;&gt;0),"잘못된 입력",IF('채점'!AC11='채점'!AC$8,"정답","오답"))))))</x:f>
        <x:v>오답</x:v>
      </x:c>
      <x:c r="AD9" s="2" t="str">
        <x:f>IF('채점'!$C11="결시","결시",IF('채점'!AD$45&lt;&gt;"등록","정답 미등록",IF('채점'!AD11="","미응답",IF(NOT(ISNUMBER('채점'!AD11)),"잘못된 입력",IF(OR('채점'!AD11&lt;1,'채점'!AD11&gt;4,MOD('채점'!AD11,1)&lt;&gt;0),"잘못된 입력",IF('채점'!AD11='채점'!AD$8,"정답","오답"))))))</x:f>
        <x:v>정답</x:v>
      </x:c>
      <x:c r="AE9" s="2" t="str">
        <x:f>IF('채점'!$C11="결시","결시",IF('채점'!AE$45&lt;&gt;"등록","정답 미등록",IF('채점'!AE11="","미응답",IF(NOT(ISNUMBER('채점'!AE11)),"잘못된 입력",IF(OR('채점'!AE11&lt;1,'채점'!AE11&gt;4,MOD('채점'!AE11,1)&lt;&gt;0),"잘못된 입력",IF('채점'!AE11='채점'!AE$8,"정답","오답"))))))</x:f>
        <x:v>정답</x:v>
      </x:c>
      <x:c r="AF9" s="2" t="str">
        <x:f>IF('채점'!$C11="결시","결시",IF('채점'!AF$45&lt;&gt;"등록","정답 미등록",IF('채점'!AF11="","미응답",IF(NOT(ISNUMBER('채점'!AF11)),"잘못된 입력",IF(OR('채점'!AF11&lt;1,'채점'!AF11&gt;4,MOD('채점'!AF11,1)&lt;&gt;0),"잘못된 입력",IF('채점'!AF11='채점'!AF$8,"정답","오답"))))))</x:f>
        <x:v>오답</x:v>
      </x:c>
      <x:c r="AG9" s="2" t="str">
        <x:f>IF('채점'!$C11="결시","결시",IF('채점'!AG$45&lt;&gt;"등록","정답 미등록",IF('채점'!AG11="","미응답",IF(NOT(ISNUMBER('채점'!AG11)),"잘못된 입력",IF(OR('채점'!AG11&lt;1,'채점'!AG11&gt;4,MOD('채점'!AG11,1)&lt;&gt;0),"잘못된 입력",IF('채점'!AG11='채점'!AG$8,"정답","오답"))))))</x:f>
        <x:v>정답</x:v>
      </x:c>
      <x:c r="AH9" s="2" t="str">
        <x:f>IF('채점'!$C11="결시","결시",IF('채점'!AH$45&lt;&gt;"등록","정답 미등록",IF('채점'!AH11="","미응답",IF(NOT(ISNUMBER('채점'!AH11)),"잘못된 입력",IF(OR('채점'!AH11&lt;1,'채점'!AH11&gt;4,MOD('채점'!AH11,1)&lt;&gt;0),"잘못된 입력",IF('채점'!AH11='채점'!AH$8,"정답","오답"))))))</x:f>
        <x:v>정답</x:v>
      </x:c>
      <x:c r="AI9" s="2" t="str">
        <x:f>IF('채점'!$C11="결시","결시",IF('채점'!AI$45&lt;&gt;"등록","정답 미등록",IF('채점'!AI11="","미응답",IF(NOT(ISNUMBER('채점'!AI11)),"잘못된 입력",IF(OR('채점'!AI11&lt;1,'채점'!AI11&gt;4,MOD('채점'!AI11,1)&lt;&gt;0),"잘못된 입력",IF('채점'!AI11='채점'!AI$8,"정답","오답"))))))</x:f>
        <x:v>오답</x:v>
      </x:c>
      <x:c r="AJ9" s="2" t="str">
        <x:f>IF('채점'!$C11="결시","결시",IF('채점'!AJ$45&lt;&gt;"등록","정답 미등록",IF('채점'!AJ11="","미응답",IF(NOT(ISNUMBER('채점'!AJ11)),"잘못된 입력",IF(OR('채점'!AJ11&lt;1,'채점'!AJ11&gt;4,MOD('채점'!AJ11,1)&lt;&gt;0),"잘못된 입력",IF('채점'!AJ11='채점'!AJ$8,"정답","오답"))))))</x:f>
        <x:v>정답</x:v>
      </x:c>
      <x:c r="AK9" s="2" t="str">
        <x:f>IF('채점'!$C11="결시","결시",IF('채점'!AK$45&lt;&gt;"등록","정답 미등록",IF('채점'!AK11="","미응답",IF(NOT(ISNUMBER('채점'!AK11)),"잘못된 입력",IF(OR('채점'!AK11&lt;1,'채점'!AK11&gt;4,MOD('채점'!AK11,1)&lt;&gt;0),"잘못된 입력",IF('채점'!AK11='채점'!AK$8,"정답","오답"))))))</x:f>
        <x:v>정답</x:v>
      </x:c>
      <x:c r="AL9" s="2" t="str">
        <x:f>IF('채점'!$C11="결시","결시",IF('채점'!AL$45&lt;&gt;"등록","정답 미등록",IF('채점'!AL11="","미응답",IF(NOT(ISNUMBER('채점'!AL11)),"잘못된 입력",IF(OR('채점'!AL11&lt;1,'채점'!AL11&gt;4,MOD('채점'!AL11,1)&lt;&gt;0),"잘못된 입력",IF('채점'!AL11='채점'!AL$8,"정답","오답"))))))</x:f>
        <x:v>오답</x:v>
      </x:c>
      <x:c r="AM9" s="2" t="str">
        <x:f>IF('채점'!$C11="결시","결시",IF('채점'!AM$45&lt;&gt;"등록","정답 미등록",IF('채점'!AM11="","미응답",IF(NOT(ISNUMBER('채점'!AM11)),"잘못된 입력",IF(OR('채점'!AM11&lt;1,'채점'!AM11&gt;4,MOD('채점'!AM11,1)&lt;&gt;0),"잘못된 입력",IF('채점'!AM11='채점'!AM$8,"정답","오답"))))))</x:f>
        <x:v>오답</x:v>
      </x:c>
      <x:c r="AN9" s="2" t="str">
        <x:f>IF('채점'!$C11="결시","결시",IF('채점'!AN$45&lt;&gt;"등록","정답 미등록",IF('채점'!AN11="","미응답",IF(NOT(ISNUMBER('채점'!AN11)),"잘못된 입력",IF(OR('채점'!AN11&lt;1,'채점'!AN11&gt;4,MOD('채점'!AN11,1)&lt;&gt;0),"잘못된 입력",IF('채점'!AN11='채점'!AN$8,"정답","오답"))))))</x:f>
        <x:v>정답</x:v>
      </x:c>
      <x:c r="AO9" s="2" t="str">
        <x:f>IF('채점'!$C11="결시","결시",IF('채점'!AO$45&lt;&gt;"등록","정답 미등록",IF('채점'!AO11="","미응답",IF(NOT(ISNUMBER('채점'!AO11)),"잘못된 입력",IF(OR('채점'!AO11&lt;1,'채점'!AO11&gt;4,MOD('채점'!AO11,1)&lt;&gt;0),"잘못된 입력",IF('채점'!AO11='채점'!AO$8,"정답","오답"))))))</x:f>
        <x:v>정답</x:v>
      </x:c>
      <x:c r="AP9" s="2" t="str">
        <x:f>IF('채점'!$C11="결시","결시",IF('채점'!AP$45&lt;&gt;"등록","정답 미등록",IF('채점'!AP11="","미응답",IF(NOT(ISNUMBER('채점'!AP11)),"잘못된 입력",IF(OR('채점'!AP11&lt;1,'채점'!AP11&gt;4,MOD('채점'!AP11,1)&lt;&gt;0),"잘못된 입력",IF('채점'!AP11='채점'!AP$8,"정답","오답"))))))</x:f>
        <x:v>오답</x:v>
      </x:c>
      <x:c r="AQ9" s="2" t="str">
        <x:f>IF('채점'!$C11="결시","결시",IF('채점'!AQ$45&lt;&gt;"등록","정답 미등록",IF('채점'!AQ11="","미응답",IF(NOT(ISNUMBER('채점'!AQ11)),"잘못된 입력",IF(OR('채점'!AQ11&lt;1,'채점'!AQ11&gt;4,MOD('채점'!AQ11,1)&lt;&gt;0),"잘못된 입력",IF('채점'!AQ11='채점'!AQ$8,"정답","오답"))))))</x:f>
        <x:v>정답</x:v>
      </x:c>
    </x:row>
    <x:row r="10" ht="25" customHeight="1">
      <x:c r="A10" s="2" t="str">
        <x:f>'채점'!A12</x:f>
        <x:v>S003</x:v>
      </x:c>
      <x:c r="B10" s="2" t="str">
        <x:f>'채점'!C12</x:f>
        <x:v>응시</x:v>
      </x:c>
      <x:c r="C10" s="2"/>
      <x:c r="D10" s="2" t="str">
        <x:f>IF('채점'!$C12="결시","결시",IF('채점'!D$45&lt;&gt;"등록","정답 미등록",IF('채점'!D12="","미응답",IF(NOT(ISNUMBER('채점'!D12)),"잘못된 입력",IF(OR('채점'!D12&lt;1,'채점'!D12&gt;4,MOD('채점'!D12,1)&lt;&gt;0),"잘못된 입력",IF('채점'!D12='채점'!D$8,"정답","오답"))))))</x:f>
        <x:v>정답</x:v>
      </x:c>
      <x:c r="E10" s="2" t="str">
        <x:f>IF('채점'!$C12="결시","결시",IF('채점'!E$45&lt;&gt;"등록","정답 미등록",IF('채점'!E12="","미응답",IF(NOT(ISNUMBER('채점'!E12)),"잘못된 입력",IF(OR('채점'!E12&lt;1,'채점'!E12&gt;4,MOD('채점'!E12,1)&lt;&gt;0),"잘못된 입력",IF('채점'!E12='채점'!E$8,"정답","오답"))))))</x:f>
        <x:v>오답</x:v>
      </x:c>
      <x:c r="F10" s="2" t="str">
        <x:f>IF('채점'!$C12="결시","결시",IF('채점'!F$45&lt;&gt;"등록","정답 미등록",IF('채점'!F12="","미응답",IF(NOT(ISNUMBER('채점'!F12)),"잘못된 입력",IF(OR('채점'!F12&lt;1,'채점'!F12&gt;4,MOD('채점'!F12,1)&lt;&gt;0),"잘못된 입력",IF('채점'!F12='채점'!F$8,"정답","오답"))))))</x:f>
        <x:v>정답</x:v>
      </x:c>
      <x:c r="G10" s="2" t="str">
        <x:f>IF('채점'!$C12="결시","결시",IF('채점'!G$45&lt;&gt;"등록","정답 미등록",IF('채점'!G12="","미응답",IF(NOT(ISNUMBER('채점'!G12)),"잘못된 입력",IF(OR('채점'!G12&lt;1,'채점'!G12&gt;4,MOD('채점'!G12,1)&lt;&gt;0),"잘못된 입력",IF('채점'!G12='채점'!G$8,"정답","오답"))))))</x:f>
        <x:v>정답</x:v>
      </x:c>
      <x:c r="H10" s="2" t="str">
        <x:f>IF('채점'!$C12="결시","결시",IF('채점'!H$45&lt;&gt;"등록","정답 미등록",IF('채점'!H12="","미응답",IF(NOT(ISNUMBER('채점'!H12)),"잘못된 입력",IF(OR('채점'!H12&lt;1,'채점'!H12&gt;4,MOD('채점'!H12,1)&lt;&gt;0),"잘못된 입력",IF('채점'!H12='채점'!H$8,"정답","오답"))))))</x:f>
        <x:v>정답</x:v>
      </x:c>
      <x:c r="I10" s="2" t="str">
        <x:f>IF('채점'!$C12="결시","결시",IF('채점'!I$45&lt;&gt;"등록","정답 미등록",IF('채점'!I12="","미응답",IF(NOT(ISNUMBER('채점'!I12)),"잘못된 입력",IF(OR('채점'!I12&lt;1,'채점'!I12&gt;4,MOD('채점'!I12,1)&lt;&gt;0),"잘못된 입력",IF('채점'!I12='채점'!I$8,"정답","오답"))))))</x:f>
        <x:v>오답</x:v>
      </x:c>
      <x:c r="J10" s="2" t="str">
        <x:f>IF('채점'!$C12="결시","결시",IF('채점'!J$45&lt;&gt;"등록","정답 미등록",IF('채점'!J12="","미응답",IF(NOT(ISNUMBER('채점'!J12)),"잘못된 입력",IF(OR('채점'!J12&lt;1,'채점'!J12&gt;4,MOD('채점'!J12,1)&lt;&gt;0),"잘못된 입력",IF('채점'!J12='채점'!J$8,"정답","오답"))))))</x:f>
        <x:v>정답</x:v>
      </x:c>
      <x:c r="K10" s="2" t="str">
        <x:f>IF('채점'!$C12="결시","결시",IF('채점'!K$45&lt;&gt;"등록","정답 미등록",IF('채점'!K12="","미응답",IF(NOT(ISNUMBER('채점'!K12)),"잘못된 입력",IF(OR('채점'!K12&lt;1,'채점'!K12&gt;4,MOD('채점'!K12,1)&lt;&gt;0),"잘못된 입력",IF('채점'!K12='채점'!K$8,"정답","오답"))))))</x:f>
        <x:v>정답</x:v>
      </x:c>
      <x:c r="L10" s="2" t="str">
        <x:f>IF('채점'!$C12="결시","결시",IF('채점'!L$45&lt;&gt;"등록","정답 미등록",IF('채점'!L12="","미응답",IF(NOT(ISNUMBER('채점'!L12)),"잘못된 입력",IF(OR('채점'!L12&lt;1,'채점'!L12&gt;4,MOD('채점'!L12,1)&lt;&gt;0),"잘못된 입력",IF('채점'!L12='채점'!L$8,"정답","오답"))))))</x:f>
        <x:v>오답</x:v>
      </x:c>
      <x:c r="M10" s="2" t="str">
        <x:f>IF('채점'!$C12="결시","결시",IF('채점'!M$45&lt;&gt;"등록","정답 미등록",IF('채점'!M12="","미응답",IF(NOT(ISNUMBER('채점'!M12)),"잘못된 입력",IF(OR('채점'!M12&lt;1,'채점'!M12&gt;4,MOD('채점'!M12,1)&lt;&gt;0),"잘못된 입력",IF('채점'!M12='채점'!M$8,"정답","오답"))))))</x:f>
        <x:v>정답</x:v>
      </x:c>
      <x:c r="N10" s="2" t="str">
        <x:f>IF('채점'!$C12="결시","결시",IF('채점'!N$45&lt;&gt;"등록","정답 미등록",IF('채점'!N12="","미응답",IF(NOT(ISNUMBER('채점'!N12)),"잘못된 입력",IF(OR('채점'!N12&lt;1,'채점'!N12&gt;4,MOD('채점'!N12,1)&lt;&gt;0),"잘못된 입력",IF('채점'!N12='채점'!N$8,"정답","오답"))))))</x:f>
        <x:v>정답</x:v>
      </x:c>
      <x:c r="O10" s="2" t="str">
        <x:f>IF('채점'!$C12="결시","결시",IF('채점'!O$45&lt;&gt;"등록","정답 미등록",IF('채점'!O12="","미응답",IF(NOT(ISNUMBER('채점'!O12)),"잘못된 입력",IF(OR('채점'!O12&lt;1,'채점'!O12&gt;4,MOD('채점'!O12,1)&lt;&gt;0),"잘못된 입력",IF('채점'!O12='채점'!O$8,"정답","오답"))))))</x:f>
        <x:v>오답</x:v>
      </x:c>
      <x:c r="P10" s="2" t="str">
        <x:f>IF('채점'!$C12="결시","결시",IF('채점'!P$45&lt;&gt;"등록","정답 미등록",IF('채점'!P12="","미응답",IF(NOT(ISNUMBER('채점'!P12)),"잘못된 입력",IF(OR('채점'!P12&lt;1,'채점'!P12&gt;4,MOD('채점'!P12,1)&lt;&gt;0),"잘못된 입력",IF('채점'!P12='채점'!P$8,"정답","오답"))))))</x:f>
        <x:v>정답</x:v>
      </x:c>
      <x:c r="Q10" s="2" t="str">
        <x:f>IF('채점'!$C12="결시","결시",IF('채점'!Q$45&lt;&gt;"등록","정답 미등록",IF('채점'!Q12="","미응답",IF(NOT(ISNUMBER('채점'!Q12)),"잘못된 입력",IF(OR('채점'!Q12&lt;1,'채점'!Q12&gt;4,MOD('채점'!Q12,1)&lt;&gt;0),"잘못된 입력",IF('채점'!Q12='채점'!Q$8,"정답","오답"))))))</x:f>
        <x:v>정답</x:v>
      </x:c>
      <x:c r="R10" s="2" t="str">
        <x:f>IF('채점'!$C12="결시","결시",IF('채점'!R$45&lt;&gt;"등록","정답 미등록",IF('채점'!R12="","미응답",IF(NOT(ISNUMBER('채점'!R12)),"잘못된 입력",IF(OR('채점'!R12&lt;1,'채점'!R12&gt;4,MOD('채점'!R12,1)&lt;&gt;0),"잘못된 입력",IF('채점'!R12='채점'!R$8,"정답","오답"))))))</x:f>
        <x:v>정답</x:v>
      </x:c>
      <x:c r="S10" s="2" t="str">
        <x:f>IF('채점'!$C12="결시","결시",IF('채점'!S$45&lt;&gt;"등록","정답 미등록",IF('채점'!S12="","미응답",IF(NOT(ISNUMBER('채점'!S12)),"잘못된 입력",IF(OR('채점'!S12&lt;1,'채점'!S12&gt;4,MOD('채점'!S12,1)&lt;&gt;0),"잘못된 입력",IF('채점'!S12='채점'!S$8,"정답","오답"))))))</x:f>
        <x:v>오답</x:v>
      </x:c>
      <x:c r="T10" s="2" t="str">
        <x:f>IF('채점'!$C12="결시","결시",IF('채점'!T$45&lt;&gt;"등록","정답 미등록",IF('채점'!T12="","미응답",IF(NOT(ISNUMBER('채점'!T12)),"잘못된 입력",IF(OR('채점'!T12&lt;1,'채점'!T12&gt;4,MOD('채점'!T12,1)&lt;&gt;0),"잘못된 입력",IF('채점'!T12='채점'!T$8,"정답","오답"))))))</x:f>
        <x:v>정답</x:v>
      </x:c>
      <x:c r="U10" s="2" t="str">
        <x:f>IF('채점'!$C12="결시","결시",IF('채점'!U$45&lt;&gt;"등록","정답 미등록",IF('채점'!U12="","미응답",IF(NOT(ISNUMBER('채점'!U12)),"잘못된 입력",IF(OR('채점'!U12&lt;1,'채점'!U12&gt;4,MOD('채점'!U12,1)&lt;&gt;0),"잘못된 입력",IF('채점'!U12='채점'!U$8,"정답","오답"))))))</x:f>
        <x:v>정답</x:v>
      </x:c>
      <x:c r="V10" s="2" t="str">
        <x:f>IF('채점'!$C12="결시","결시",IF('채점'!V$45&lt;&gt;"등록","정답 미등록",IF('채점'!V12="","미응답",IF(NOT(ISNUMBER('채점'!V12)),"잘못된 입력",IF(OR('채점'!V12&lt;1,'채점'!V12&gt;4,MOD('채점'!V12,1)&lt;&gt;0),"잘못된 입력",IF('채점'!V12='채점'!V$8,"정답","오답"))))))</x:f>
        <x:v>오답</x:v>
      </x:c>
      <x:c r="W10" s="2" t="str">
        <x:f>IF('채점'!$C12="결시","결시",IF('채점'!W$45&lt;&gt;"등록","정답 미등록",IF('채점'!W12="","미응답",IF(NOT(ISNUMBER('채점'!W12)),"잘못된 입력",IF(OR('채점'!W12&lt;1,'채점'!W12&gt;4,MOD('채점'!W12,1)&lt;&gt;0),"잘못된 입력",IF('채점'!W12='채점'!W$8,"정답","오답"))))))</x:f>
        <x:v>정답</x:v>
      </x:c>
      <x:c r="X10" s="2" t="str">
        <x:f>IF('채점'!$C12="결시","결시",IF('채점'!X$45&lt;&gt;"등록","정답 미등록",IF('채점'!X12="","미응답",IF(NOT(ISNUMBER('채점'!X12)),"잘못된 입력",IF(OR('채점'!X12&lt;1,'채점'!X12&gt;4,MOD('채점'!X12,1)&lt;&gt;0),"잘못된 입력",IF('채점'!X12='채점'!X$8,"정답","오답"))))))</x:f>
        <x:v>정답</x:v>
      </x:c>
      <x:c r="Y10" s="2" t="str">
        <x:f>IF('채점'!$C12="결시","결시",IF('채점'!Y$45&lt;&gt;"등록","정답 미등록",IF('채점'!Y12="","미응답",IF(NOT(ISNUMBER('채점'!Y12)),"잘못된 입력",IF(OR('채점'!Y12&lt;1,'채점'!Y12&gt;4,MOD('채점'!Y12,1)&lt;&gt;0),"잘못된 입력",IF('채점'!Y12='채점'!Y$8,"정답","오답"))))))</x:f>
        <x:v>오답</x:v>
      </x:c>
      <x:c r="Z10" s="2" t="str">
        <x:f>IF('채점'!$C12="결시","결시",IF('채점'!Z$45&lt;&gt;"등록","정답 미등록",IF('채점'!Z12="","미응답",IF(NOT(ISNUMBER('채점'!Z12)),"잘못된 입력",IF(OR('채점'!Z12&lt;1,'채점'!Z12&gt;4,MOD('채점'!Z12,1)&lt;&gt;0),"잘못된 입력",IF('채점'!Z12='채점'!Z$8,"정답","오답"))))))</x:f>
        <x:v>정답</x:v>
      </x:c>
      <x:c r="AA10" s="2" t="str">
        <x:f>IF('채점'!$C12="결시","결시",IF('채점'!AA$45&lt;&gt;"등록","정답 미등록",IF('채점'!AA12="","미응답",IF(NOT(ISNUMBER('채점'!AA12)),"잘못된 입력",IF(OR('채점'!AA12&lt;1,'채점'!AA12&gt;4,MOD('채점'!AA12,1)&lt;&gt;0),"잘못된 입력",IF('채점'!AA12='채점'!AA$8,"정답","오답"))))))</x:f>
        <x:v>정답</x:v>
      </x:c>
      <x:c r="AB10" s="2" t="str">
        <x:f>IF('채점'!$C12="결시","결시",IF('채점'!AB$45&lt;&gt;"등록","정답 미등록",IF('채점'!AB12="","미응답",IF(NOT(ISNUMBER('채점'!AB12)),"잘못된 입력",IF(OR('채점'!AB12&lt;1,'채점'!AB12&gt;4,MOD('채점'!AB12,1)&lt;&gt;0),"잘못된 입력",IF('채점'!AB12='채점'!AB$8,"정답","오답"))))))</x:f>
        <x:v>정답</x:v>
      </x:c>
      <x:c r="AC10" s="2" t="str">
        <x:f>IF('채점'!$C12="결시","결시",IF('채점'!AC$45&lt;&gt;"등록","정답 미등록",IF('채점'!AC12="","미응답",IF(NOT(ISNUMBER('채점'!AC12)),"잘못된 입력",IF(OR('채점'!AC12&lt;1,'채점'!AC12&gt;4,MOD('채점'!AC12,1)&lt;&gt;0),"잘못된 입력",IF('채점'!AC12='채점'!AC$8,"정답","오답"))))))</x:f>
        <x:v>오답</x:v>
      </x:c>
      <x:c r="AD10" s="2" t="str">
        <x:f>IF('채점'!$C12="결시","결시",IF('채점'!AD$45&lt;&gt;"등록","정답 미등록",IF('채점'!AD12="","미응답",IF(NOT(ISNUMBER('채점'!AD12)),"잘못된 입력",IF(OR('채점'!AD12&lt;1,'채점'!AD12&gt;4,MOD('채점'!AD12,1)&lt;&gt;0),"잘못된 입력",IF('채점'!AD12='채점'!AD$8,"정답","오답"))))))</x:f>
        <x:v>정답</x:v>
      </x:c>
      <x:c r="AE10" s="2" t="str">
        <x:f>IF('채점'!$C12="결시","결시",IF('채점'!AE$45&lt;&gt;"등록","정답 미등록",IF('채점'!AE12="","미응답",IF(NOT(ISNUMBER('채점'!AE12)),"잘못된 입력",IF(OR('채점'!AE12&lt;1,'채점'!AE12&gt;4,MOD('채점'!AE12,1)&lt;&gt;0),"잘못된 입력",IF('채점'!AE12='채점'!AE$8,"정답","오답"))))))</x:f>
        <x:v>정답</x:v>
      </x:c>
      <x:c r="AF10" s="2" t="str">
        <x:f>IF('채점'!$C12="결시","결시",IF('채점'!AF$45&lt;&gt;"등록","정답 미등록",IF('채점'!AF12="","미응답",IF(NOT(ISNUMBER('채점'!AF12)),"잘못된 입력",IF(OR('채점'!AF12&lt;1,'채점'!AF12&gt;4,MOD('채점'!AF12,1)&lt;&gt;0),"잘못된 입력",IF('채점'!AF12='채점'!AF$8,"정답","오답"))))))</x:f>
        <x:v>오답</x:v>
      </x:c>
      <x:c r="AG10" s="2" t="str">
        <x:f>IF('채점'!$C12="결시","결시",IF('채점'!AG$45&lt;&gt;"등록","정답 미등록",IF('채점'!AG12="","미응답",IF(NOT(ISNUMBER('채점'!AG12)),"잘못된 입력",IF(OR('채점'!AG12&lt;1,'채점'!AG12&gt;4,MOD('채점'!AG12,1)&lt;&gt;0),"잘못된 입력",IF('채점'!AG12='채점'!AG$8,"정답","오답"))))))</x:f>
        <x:v>정답</x:v>
      </x:c>
      <x:c r="AH10" s="2" t="str">
        <x:f>IF('채점'!$C12="결시","결시",IF('채점'!AH$45&lt;&gt;"등록","정답 미등록",IF('채점'!AH12="","미응답",IF(NOT(ISNUMBER('채점'!AH12)),"잘못된 입력",IF(OR('채점'!AH12&lt;1,'채점'!AH12&gt;4,MOD('채점'!AH12,1)&lt;&gt;0),"잘못된 입력",IF('채점'!AH12='채점'!AH$8,"정답","오답"))))))</x:f>
        <x:v>정답</x:v>
      </x:c>
      <x:c r="AI10" s="2" t="str">
        <x:f>IF('채점'!$C12="결시","결시",IF('채점'!AI$45&lt;&gt;"등록","정답 미등록",IF('채점'!AI12="","미응답",IF(NOT(ISNUMBER('채점'!AI12)),"잘못된 입력",IF(OR('채점'!AI12&lt;1,'채점'!AI12&gt;4,MOD('채점'!AI12,1)&lt;&gt;0),"잘못된 입력",IF('채점'!AI12='채점'!AI$8,"정답","오답"))))))</x:f>
        <x:v>오답</x:v>
      </x:c>
      <x:c r="AJ10" s="2" t="str">
        <x:f>IF('채점'!$C12="결시","결시",IF('채점'!AJ$45&lt;&gt;"등록","정답 미등록",IF('채점'!AJ12="","미응답",IF(NOT(ISNUMBER('채점'!AJ12)),"잘못된 입력",IF(OR('채점'!AJ12&lt;1,'채점'!AJ12&gt;4,MOD('채점'!AJ12,1)&lt;&gt;0),"잘못된 입력",IF('채점'!AJ12='채점'!AJ$8,"정답","오답"))))))</x:f>
        <x:v>정답</x:v>
      </x:c>
      <x:c r="AK10" s="2" t="str">
        <x:f>IF('채점'!$C12="결시","결시",IF('채점'!AK$45&lt;&gt;"등록","정답 미등록",IF('채점'!AK12="","미응답",IF(NOT(ISNUMBER('채점'!AK12)),"잘못된 입력",IF(OR('채점'!AK12&lt;1,'채점'!AK12&gt;4,MOD('채점'!AK12,1)&lt;&gt;0),"잘못된 입력",IF('채점'!AK12='채점'!AK$8,"정답","오답"))))))</x:f>
        <x:v>정답</x:v>
      </x:c>
      <x:c r="AL10" s="2" t="str">
        <x:f>IF('채점'!$C12="결시","결시",IF('채점'!AL$45&lt;&gt;"등록","정답 미등록",IF('채점'!AL12="","미응답",IF(NOT(ISNUMBER('채점'!AL12)),"잘못된 입력",IF(OR('채점'!AL12&lt;1,'채점'!AL12&gt;4,MOD('채점'!AL12,1)&lt;&gt;0),"잘못된 입력",IF('채점'!AL12='채점'!AL$8,"정답","오답"))))))</x:f>
        <x:v>정답</x:v>
      </x:c>
      <x:c r="AM10" s="2" t="str">
        <x:f>IF('채점'!$C12="결시","결시",IF('채점'!AM$45&lt;&gt;"등록","정답 미등록",IF('채점'!AM12="","미응답",IF(NOT(ISNUMBER('채점'!AM12)),"잘못된 입력",IF(OR('채점'!AM12&lt;1,'채점'!AM12&gt;4,MOD('채점'!AM12,1)&lt;&gt;0),"잘못된 입력",IF('채점'!AM12='채점'!AM$8,"정답","오답"))))))</x:f>
        <x:v>오답</x:v>
      </x:c>
      <x:c r="AN10" s="2" t="str">
        <x:f>IF('채점'!$C12="결시","결시",IF('채점'!AN$45&lt;&gt;"등록","정답 미등록",IF('채점'!AN12="","미응답",IF(NOT(ISNUMBER('채점'!AN12)),"잘못된 입력",IF(OR('채점'!AN12&lt;1,'채점'!AN12&gt;4,MOD('채점'!AN12,1)&lt;&gt;0),"잘못된 입력",IF('채점'!AN12='채점'!AN$8,"정답","오답"))))))</x:f>
        <x:v>정답</x:v>
      </x:c>
      <x:c r="AO10" s="2" t="str">
        <x:f>IF('채점'!$C12="결시","결시",IF('채점'!AO$45&lt;&gt;"등록","정답 미등록",IF('채점'!AO12="","미응답",IF(NOT(ISNUMBER('채점'!AO12)),"잘못된 입력",IF(OR('채점'!AO12&lt;1,'채점'!AO12&gt;4,MOD('채점'!AO12,1)&lt;&gt;0),"잘못된 입력",IF('채점'!AO12='채점'!AO$8,"정답","오답"))))))</x:f>
        <x:v>정답</x:v>
      </x:c>
      <x:c r="AP10" s="2" t="str">
        <x:f>IF('채점'!$C12="결시","결시",IF('채점'!AP$45&lt;&gt;"등록","정답 미등록",IF('채점'!AP12="","미응답",IF(NOT(ISNUMBER('채점'!AP12)),"잘못된 입력",IF(OR('채점'!AP12&lt;1,'채점'!AP12&gt;4,MOD('채점'!AP12,1)&lt;&gt;0),"잘못된 입력",IF('채점'!AP12='채점'!AP$8,"정답","오답"))))))</x:f>
        <x:v>오답</x:v>
      </x:c>
      <x:c r="AQ10" s="2" t="str">
        <x:f>IF('채점'!$C12="결시","결시",IF('채점'!AQ$45&lt;&gt;"등록","정답 미등록",IF('채점'!AQ12="","미응답",IF(NOT(ISNUMBER('채점'!AQ12)),"잘못된 입력",IF(OR('채점'!AQ12&lt;1,'채점'!AQ12&gt;4,MOD('채점'!AQ12,1)&lt;&gt;0),"잘못된 입력",IF('채점'!AQ12='채점'!AQ$8,"정답","오답"))))))</x:f>
        <x:v>정답</x:v>
      </x:c>
    </x:row>
    <x:row r="11" ht="25" customHeight="1">
      <x:c r="A11" s="2" t="str">
        <x:f>'채점'!A13</x:f>
        <x:v>S004</x:v>
      </x:c>
      <x:c r="B11" s="2" t="str">
        <x:f>'채점'!C13</x:f>
        <x:v>응시</x:v>
      </x:c>
      <x:c r="C11" s="2"/>
      <x:c r="D11" s="2" t="str">
        <x:f>IF('채점'!$C13="결시","결시",IF('채점'!D$45&lt;&gt;"등록","정답 미등록",IF('채점'!D13="","미응답",IF(NOT(ISNUMBER('채점'!D13)),"잘못된 입력",IF(OR('채점'!D13&lt;1,'채점'!D13&gt;4,MOD('채점'!D13,1)&lt;&gt;0),"잘못된 입력",IF('채점'!D13='채점'!D$8,"정답","오답"))))))</x:f>
        <x:v>정답</x:v>
      </x:c>
      <x:c r="E11" s="2" t="str">
        <x:f>IF('채점'!$C13="결시","결시",IF('채점'!E$45&lt;&gt;"등록","정답 미등록",IF('채점'!E13="","미응답",IF(NOT(ISNUMBER('채점'!E13)),"잘못된 입력",IF(OR('채점'!E13&lt;1,'채점'!E13&gt;4,MOD('채점'!E13,1)&lt;&gt;0),"잘못된 입력",IF('채점'!E13='채점'!E$8,"정답","오답"))))))</x:f>
        <x:v>정답</x:v>
      </x:c>
      <x:c r="F11" s="2" t="str">
        <x:f>IF('채점'!$C13="결시","결시",IF('채점'!F$45&lt;&gt;"등록","정답 미등록",IF('채점'!F13="","미응답",IF(NOT(ISNUMBER('채점'!F13)),"잘못된 입력",IF(OR('채점'!F13&lt;1,'채점'!F13&gt;4,MOD('채점'!F13,1)&lt;&gt;0),"잘못된 입력",IF('채점'!F13='채점'!F$8,"정답","오답"))))))</x:f>
        <x:v>정답</x:v>
      </x:c>
      <x:c r="G11" s="2" t="str">
        <x:f>IF('채점'!$C13="결시","결시",IF('채점'!G$45&lt;&gt;"등록","정답 미등록",IF('채점'!G13="","미응답",IF(NOT(ISNUMBER('채점'!G13)),"잘못된 입력",IF(OR('채점'!G13&lt;1,'채점'!G13&gt;4,MOD('채점'!G13,1)&lt;&gt;0),"잘못된 입력",IF('채점'!G13='채점'!G$8,"정답","오답"))))))</x:f>
        <x:v>정답</x:v>
      </x:c>
      <x:c r="H11" s="2" t="str">
        <x:f>IF('채점'!$C13="결시","결시",IF('채점'!H$45&lt;&gt;"등록","정답 미등록",IF('채점'!H13="","미응답",IF(NOT(ISNUMBER('채점'!H13)),"잘못된 입력",IF(OR('채점'!H13&lt;1,'채점'!H13&gt;4,MOD('채점'!H13,1)&lt;&gt;0),"잘못된 입력",IF('채점'!H13='채점'!H$8,"정답","오답"))))))</x:f>
        <x:v>정답</x:v>
      </x:c>
      <x:c r="I11" s="2" t="str">
        <x:f>IF('채점'!$C13="결시","결시",IF('채점'!I$45&lt;&gt;"등록","정답 미등록",IF('채점'!I13="","미응답",IF(NOT(ISNUMBER('채점'!I13)),"잘못된 입력",IF(OR('채점'!I13&lt;1,'채점'!I13&gt;4,MOD('채점'!I13,1)&lt;&gt;0),"잘못된 입력",IF('채점'!I13='채점'!I$8,"정답","오답"))))))</x:f>
        <x:v>오답</x:v>
      </x:c>
      <x:c r="J11" s="2" t="str">
        <x:f>IF('채점'!$C13="결시","결시",IF('채점'!J$45&lt;&gt;"등록","정답 미등록",IF('채점'!J13="","미응답",IF(NOT(ISNUMBER('채점'!J13)),"잘못된 입력",IF(OR('채점'!J13&lt;1,'채점'!J13&gt;4,MOD('채점'!J13,1)&lt;&gt;0),"잘못된 입력",IF('채점'!J13='채점'!J$8,"정답","오답"))))))</x:f>
        <x:v>정답</x:v>
      </x:c>
      <x:c r="K11" s="2" t="str">
        <x:f>IF('채점'!$C13="결시","결시",IF('채점'!K$45&lt;&gt;"등록","정답 미등록",IF('채점'!K13="","미응답",IF(NOT(ISNUMBER('채점'!K13)),"잘못된 입력",IF(OR('채점'!K13&lt;1,'채점'!K13&gt;4,MOD('채점'!K13,1)&lt;&gt;0),"잘못된 입력",IF('채점'!K13='채점'!K$8,"정답","오답"))))))</x:f>
        <x:v>정답</x:v>
      </x:c>
      <x:c r="L11" s="2" t="str">
        <x:f>IF('채점'!$C13="결시","결시",IF('채점'!L$45&lt;&gt;"등록","정답 미등록",IF('채점'!L13="","미응답",IF(NOT(ISNUMBER('채점'!L13)),"잘못된 입력",IF(OR('채점'!L13&lt;1,'채점'!L13&gt;4,MOD('채점'!L13,1)&lt;&gt;0),"잘못된 입력",IF('채점'!L13='채점'!L$8,"정답","오답"))))))</x:f>
        <x:v>오답</x:v>
      </x:c>
      <x:c r="M11" s="2" t="str">
        <x:f>IF('채점'!$C13="결시","결시",IF('채점'!M$45&lt;&gt;"등록","정답 미등록",IF('채점'!M13="","미응답",IF(NOT(ISNUMBER('채점'!M13)),"잘못된 입력",IF(OR('채점'!M13&lt;1,'채점'!M13&gt;4,MOD('채점'!M13,1)&lt;&gt;0),"잘못된 입력",IF('채점'!M13='채점'!M$8,"정답","오답"))))))</x:f>
        <x:v>정답</x:v>
      </x:c>
      <x:c r="N11" s="2" t="str">
        <x:f>IF('채점'!$C13="결시","결시",IF('채점'!N$45&lt;&gt;"등록","정답 미등록",IF('채점'!N13="","미응답",IF(NOT(ISNUMBER('채점'!N13)),"잘못된 입력",IF(OR('채점'!N13&lt;1,'채점'!N13&gt;4,MOD('채점'!N13,1)&lt;&gt;0),"잘못된 입력",IF('채점'!N13='채점'!N$8,"정답","오답"))))))</x:f>
        <x:v>정답</x:v>
      </x:c>
      <x:c r="O11" s="2" t="str">
        <x:f>IF('채점'!$C13="결시","결시",IF('채점'!O$45&lt;&gt;"등록","정답 미등록",IF('채점'!O13="","미응답",IF(NOT(ISNUMBER('채점'!O13)),"잘못된 입력",IF(OR('채점'!O13&lt;1,'채점'!O13&gt;4,MOD('채점'!O13,1)&lt;&gt;0),"잘못된 입력",IF('채점'!O13='채점'!O$8,"정답","오답"))))))</x:f>
        <x:v>정답</x:v>
      </x:c>
      <x:c r="P11" s="2" t="str">
        <x:f>IF('채점'!$C13="결시","결시",IF('채점'!P$45&lt;&gt;"등록","정답 미등록",IF('채점'!P13="","미응답",IF(NOT(ISNUMBER('채점'!P13)),"잘못된 입력",IF(OR('채점'!P13&lt;1,'채점'!P13&gt;4,MOD('채점'!P13,1)&lt;&gt;0),"잘못된 입력",IF('채점'!P13='채점'!P$8,"정답","오답"))))))</x:f>
        <x:v>정답</x:v>
      </x:c>
      <x:c r="Q11" s="2" t="str">
        <x:f>IF('채점'!$C13="결시","결시",IF('채점'!Q$45&lt;&gt;"등록","정답 미등록",IF('채점'!Q13="","미응답",IF(NOT(ISNUMBER('채점'!Q13)),"잘못된 입력",IF(OR('채점'!Q13&lt;1,'채점'!Q13&gt;4,MOD('채점'!Q13,1)&lt;&gt;0),"잘못된 입력",IF('채점'!Q13='채점'!Q$8,"정답","오답"))))))</x:f>
        <x:v>정답</x:v>
      </x:c>
      <x:c r="R11" s="2" t="str">
        <x:f>IF('채점'!$C13="결시","결시",IF('채점'!R$45&lt;&gt;"등록","정답 미등록",IF('채점'!R13="","미응답",IF(NOT(ISNUMBER('채점'!R13)),"잘못된 입력",IF(OR('채점'!R13&lt;1,'채점'!R13&gt;4,MOD('채점'!R13,1)&lt;&gt;0),"잘못된 입력",IF('채점'!R13='채점'!R$8,"정답","오답"))))))</x:f>
        <x:v>정답</x:v>
      </x:c>
      <x:c r="S11" s="2" t="str">
        <x:f>IF('채점'!$C13="결시","결시",IF('채점'!S$45&lt;&gt;"등록","정답 미등록",IF('채점'!S13="","미응답",IF(NOT(ISNUMBER('채점'!S13)),"잘못된 입력",IF(OR('채점'!S13&lt;1,'채점'!S13&gt;4,MOD('채점'!S13,1)&lt;&gt;0),"잘못된 입력",IF('채점'!S13='채점'!S$8,"정답","오답"))))))</x:f>
        <x:v>오답</x:v>
      </x:c>
      <x:c r="T11" s="2" t="str">
        <x:f>IF('채점'!$C13="결시","결시",IF('채점'!T$45&lt;&gt;"등록","정답 미등록",IF('채점'!T13="","미응답",IF(NOT(ISNUMBER('채점'!T13)),"잘못된 입력",IF(OR('채점'!T13&lt;1,'채점'!T13&gt;4,MOD('채점'!T13,1)&lt;&gt;0),"잘못된 입력",IF('채점'!T13='채점'!T$8,"정답","오답"))))))</x:f>
        <x:v>정답</x:v>
      </x:c>
      <x:c r="U11" s="2" t="str">
        <x:f>IF('채점'!$C13="결시","결시",IF('채점'!U$45&lt;&gt;"등록","정답 미등록",IF('채점'!U13="","미응답",IF(NOT(ISNUMBER('채점'!U13)),"잘못된 입력",IF(OR('채점'!U13&lt;1,'채점'!U13&gt;4,MOD('채점'!U13,1)&lt;&gt;0),"잘못된 입력",IF('채점'!U13='채점'!U$8,"정답","오답"))))))</x:f>
        <x:v>정답</x:v>
      </x:c>
      <x:c r="V11" s="2" t="str">
        <x:f>IF('채점'!$C13="결시","결시",IF('채점'!V$45&lt;&gt;"등록","정답 미등록",IF('채점'!V13="","미응답",IF(NOT(ISNUMBER('채점'!V13)),"잘못된 입력",IF(OR('채점'!V13&lt;1,'채점'!V13&gt;4,MOD('채점'!V13,1)&lt;&gt;0),"잘못된 입력",IF('채점'!V13='채점'!V$8,"정답","오답"))))))</x:f>
        <x:v>오답</x:v>
      </x:c>
      <x:c r="W11" s="2" t="str">
        <x:f>IF('채점'!$C13="결시","결시",IF('채점'!W$45&lt;&gt;"등록","정답 미등록",IF('채점'!W13="","미응답",IF(NOT(ISNUMBER('채점'!W13)),"잘못된 입력",IF(OR('채점'!W13&lt;1,'채점'!W13&gt;4,MOD('채점'!W13,1)&lt;&gt;0),"잘못된 입력",IF('채점'!W13='채점'!W$8,"정답","오답"))))))</x:f>
        <x:v>정답</x:v>
      </x:c>
      <x:c r="X11" s="2" t="str">
        <x:f>IF('채점'!$C13="결시","결시",IF('채점'!X$45&lt;&gt;"등록","정답 미등록",IF('채점'!X13="","미응답",IF(NOT(ISNUMBER('채점'!X13)),"잘못된 입력",IF(OR('채점'!X13&lt;1,'채점'!X13&gt;4,MOD('채점'!X13,1)&lt;&gt;0),"잘못된 입력",IF('채점'!X13='채점'!X$8,"정답","오답"))))))</x:f>
        <x:v>정답</x:v>
      </x:c>
      <x:c r="Y11" s="2" t="str">
        <x:f>IF('채점'!$C13="결시","결시",IF('채점'!Y$45&lt;&gt;"등록","정답 미등록",IF('채점'!Y13="","미응답",IF(NOT(ISNUMBER('채점'!Y13)),"잘못된 입력",IF(OR('채점'!Y13&lt;1,'채점'!Y13&gt;4,MOD('채점'!Y13,1)&lt;&gt;0),"잘못된 입력",IF('채점'!Y13='채점'!Y$8,"정답","오답"))))))</x:f>
        <x:v>정답</x:v>
      </x:c>
      <x:c r="Z11" s="2" t="str">
        <x:f>IF('채점'!$C13="결시","결시",IF('채점'!Z$45&lt;&gt;"등록","정답 미등록",IF('채점'!Z13="","미응답",IF(NOT(ISNUMBER('채점'!Z13)),"잘못된 입력",IF(OR('채점'!Z13&lt;1,'채점'!Z13&gt;4,MOD('채점'!Z13,1)&lt;&gt;0),"잘못된 입력",IF('채점'!Z13='채점'!Z$8,"정답","오답"))))))</x:f>
        <x:v>정답</x:v>
      </x:c>
      <x:c r="AA11" s="2" t="str">
        <x:f>IF('채점'!$C13="결시","결시",IF('채점'!AA$45&lt;&gt;"등록","정답 미등록",IF('채점'!AA13="","미응답",IF(NOT(ISNUMBER('채점'!AA13)),"잘못된 입력",IF(OR('채점'!AA13&lt;1,'채점'!AA13&gt;4,MOD('채점'!AA13,1)&lt;&gt;0),"잘못된 입력",IF('채점'!AA13='채점'!AA$8,"정답","오답"))))))</x:f>
        <x:v>정답</x:v>
      </x:c>
      <x:c r="AB11" s="2" t="str">
        <x:f>IF('채점'!$C13="결시","결시",IF('채점'!AB$45&lt;&gt;"등록","정답 미등록",IF('채점'!AB13="","미응답",IF(NOT(ISNUMBER('채점'!AB13)),"잘못된 입력",IF(OR('채점'!AB13&lt;1,'채점'!AB13&gt;4,MOD('채점'!AB13,1)&lt;&gt;0),"잘못된 입력",IF('채점'!AB13='채점'!AB$8,"정답","오답"))))))</x:f>
        <x:v>정답</x:v>
      </x:c>
      <x:c r="AC11" s="2" t="str">
        <x:f>IF('채점'!$C13="결시","결시",IF('채점'!AC$45&lt;&gt;"등록","정답 미등록",IF('채점'!AC13="","미응답",IF(NOT(ISNUMBER('채점'!AC13)),"잘못된 입력",IF(OR('채점'!AC13&lt;1,'채점'!AC13&gt;4,MOD('채점'!AC13,1)&lt;&gt;0),"잘못된 입력",IF('채점'!AC13='채점'!AC$8,"정답","오답"))))))</x:f>
        <x:v>오답</x:v>
      </x:c>
      <x:c r="AD11" s="2" t="str">
        <x:f>IF('채점'!$C13="결시","결시",IF('채점'!AD$45&lt;&gt;"등록","정답 미등록",IF('채점'!AD13="","미응답",IF(NOT(ISNUMBER('채점'!AD13)),"잘못된 입력",IF(OR('채점'!AD13&lt;1,'채점'!AD13&gt;4,MOD('채점'!AD13,1)&lt;&gt;0),"잘못된 입력",IF('채점'!AD13='채점'!AD$8,"정답","오답"))))))</x:f>
        <x:v>정답</x:v>
      </x:c>
      <x:c r="AE11" s="2" t="str">
        <x:f>IF('채점'!$C13="결시","결시",IF('채점'!AE$45&lt;&gt;"등록","정답 미등록",IF('채점'!AE13="","미응답",IF(NOT(ISNUMBER('채점'!AE13)),"잘못된 입력",IF(OR('채점'!AE13&lt;1,'채점'!AE13&gt;4,MOD('채점'!AE13,1)&lt;&gt;0),"잘못된 입력",IF('채점'!AE13='채점'!AE$8,"정답","오답"))))))</x:f>
        <x:v>정답</x:v>
      </x:c>
      <x:c r="AF11" s="2" t="str">
        <x:f>IF('채점'!$C13="결시","결시",IF('채점'!AF$45&lt;&gt;"등록","정답 미등록",IF('채점'!AF13="","미응답",IF(NOT(ISNUMBER('채점'!AF13)),"잘못된 입력",IF(OR('채점'!AF13&lt;1,'채점'!AF13&gt;4,MOD('채점'!AF13,1)&lt;&gt;0),"잘못된 입력",IF('채점'!AF13='채점'!AF$8,"정답","오답"))))))</x:f>
        <x:v>오답</x:v>
      </x:c>
      <x:c r="AG11" s="2" t="str">
        <x:f>IF('채점'!$C13="결시","결시",IF('채점'!AG$45&lt;&gt;"등록","정답 미등록",IF('채점'!AG13="","미응답",IF(NOT(ISNUMBER('채점'!AG13)),"잘못된 입력",IF(OR('채점'!AG13&lt;1,'채점'!AG13&gt;4,MOD('채점'!AG13,1)&lt;&gt;0),"잘못된 입력",IF('채점'!AG13='채점'!AG$8,"정답","오답"))))))</x:f>
        <x:v>정답</x:v>
      </x:c>
      <x:c r="AH11" s="2" t="str">
        <x:f>IF('채점'!$C13="결시","결시",IF('채점'!AH$45&lt;&gt;"등록","정답 미등록",IF('채점'!AH13="","미응답",IF(NOT(ISNUMBER('채점'!AH13)),"잘못된 입력",IF(OR('채점'!AH13&lt;1,'채점'!AH13&gt;4,MOD('채점'!AH13,1)&lt;&gt;0),"잘못된 입력",IF('채점'!AH13='채점'!AH$8,"정답","오답"))))))</x:f>
        <x:v>정답</x:v>
      </x:c>
      <x:c r="AI11" s="2" t="str">
        <x:f>IF('채점'!$C13="결시","결시",IF('채점'!AI$45&lt;&gt;"등록","정답 미등록",IF('채점'!AI13="","미응답",IF(NOT(ISNUMBER('채점'!AI13)),"잘못된 입력",IF(OR('채점'!AI13&lt;1,'채점'!AI13&gt;4,MOD('채점'!AI13,1)&lt;&gt;0),"잘못된 입력",IF('채점'!AI13='채점'!AI$8,"정답","오답"))))))</x:f>
        <x:v>정답</x:v>
      </x:c>
      <x:c r="AJ11" s="2" t="str">
        <x:f>IF('채점'!$C13="결시","결시",IF('채점'!AJ$45&lt;&gt;"등록","정답 미등록",IF('채점'!AJ13="","미응답",IF(NOT(ISNUMBER('채점'!AJ13)),"잘못된 입력",IF(OR('채점'!AJ13&lt;1,'채점'!AJ13&gt;4,MOD('채점'!AJ13,1)&lt;&gt;0),"잘못된 입력",IF('채점'!AJ13='채점'!AJ$8,"정답","오답"))))))</x:f>
        <x:v>정답</x:v>
      </x:c>
      <x:c r="AK11" s="2" t="str">
        <x:f>IF('채점'!$C13="결시","결시",IF('채점'!AK$45&lt;&gt;"등록","정답 미등록",IF('채점'!AK13="","미응답",IF(NOT(ISNUMBER('채점'!AK13)),"잘못된 입력",IF(OR('채점'!AK13&lt;1,'채점'!AK13&gt;4,MOD('채점'!AK13,1)&lt;&gt;0),"잘못된 입력",IF('채점'!AK13='채점'!AK$8,"정답","오답"))))))</x:f>
        <x:v>정답</x:v>
      </x:c>
      <x:c r="AL11" s="2" t="str">
        <x:f>IF('채점'!$C13="결시","결시",IF('채점'!AL$45&lt;&gt;"등록","정답 미등록",IF('채점'!AL13="","미응답",IF(NOT(ISNUMBER('채점'!AL13)),"잘못된 입력",IF(OR('채점'!AL13&lt;1,'채점'!AL13&gt;4,MOD('채점'!AL13,1)&lt;&gt;0),"잘못된 입력",IF('채점'!AL13='채점'!AL$8,"정답","오답"))))))</x:f>
        <x:v>정답</x:v>
      </x:c>
      <x:c r="AM11" s="2" t="str">
        <x:f>IF('채점'!$C13="결시","결시",IF('채점'!AM$45&lt;&gt;"등록","정답 미등록",IF('채점'!AM13="","미응답",IF(NOT(ISNUMBER('채점'!AM13)),"잘못된 입력",IF(OR('채점'!AM13&lt;1,'채점'!AM13&gt;4,MOD('채점'!AM13,1)&lt;&gt;0),"잘못된 입력",IF('채점'!AM13='채점'!AM$8,"정답","오답"))))))</x:f>
        <x:v>오답</x:v>
      </x:c>
      <x:c r="AN11" s="2" t="str">
        <x:f>IF('채점'!$C13="결시","결시",IF('채점'!AN$45&lt;&gt;"등록","정답 미등록",IF('채점'!AN13="","미응답",IF(NOT(ISNUMBER('채점'!AN13)),"잘못된 입력",IF(OR('채점'!AN13&lt;1,'채점'!AN13&gt;4,MOD('채점'!AN13,1)&lt;&gt;0),"잘못된 입력",IF('채점'!AN13='채점'!AN$8,"정답","오답"))))))</x:f>
        <x:v>정답</x:v>
      </x:c>
      <x:c r="AO11" s="2" t="str">
        <x:f>IF('채점'!$C13="결시","결시",IF('채점'!AO$45&lt;&gt;"등록","정답 미등록",IF('채점'!AO13="","미응답",IF(NOT(ISNUMBER('채점'!AO13)),"잘못된 입력",IF(OR('채점'!AO13&lt;1,'채점'!AO13&gt;4,MOD('채점'!AO13,1)&lt;&gt;0),"잘못된 입력",IF('채점'!AO13='채점'!AO$8,"정답","오답"))))))</x:f>
        <x:v>정답</x:v>
      </x:c>
      <x:c r="AP11" s="2" t="str">
        <x:f>IF('채점'!$C13="결시","결시",IF('채점'!AP$45&lt;&gt;"등록","정답 미등록",IF('채점'!AP13="","미응답",IF(NOT(ISNUMBER('채점'!AP13)),"잘못된 입력",IF(OR('채점'!AP13&lt;1,'채점'!AP13&gt;4,MOD('채점'!AP13,1)&lt;&gt;0),"잘못된 입력",IF('채점'!AP13='채점'!AP$8,"정답","오답"))))))</x:f>
        <x:v>오답</x:v>
      </x:c>
      <x:c r="AQ11" s="2" t="str">
        <x:f>IF('채점'!$C13="결시","결시",IF('채점'!AQ$45&lt;&gt;"등록","정답 미등록",IF('채점'!AQ13="","미응답",IF(NOT(ISNUMBER('채점'!AQ13)),"잘못된 입력",IF(OR('채점'!AQ13&lt;1,'채점'!AQ13&gt;4,MOD('채점'!AQ13,1)&lt;&gt;0),"잘못된 입력",IF('채점'!AQ13='채점'!AQ$8,"정답","오답"))))))</x:f>
        <x:v>정답</x:v>
      </x:c>
    </x:row>
    <x:row r="12" ht="25" customHeight="1">
      <x:c r="A12" s="2" t="str">
        <x:f>'채점'!A14</x:f>
        <x:v>S005</x:v>
      </x:c>
      <x:c r="B12" s="2" t="str">
        <x:f>'채점'!C14</x:f>
        <x:v>응시</x:v>
      </x:c>
      <x:c r="C12" s="2"/>
      <x:c r="D12" s="2" t="str">
        <x:f>IF('채점'!$C14="결시","결시",IF('채점'!D$45&lt;&gt;"등록","정답 미등록",IF('채점'!D14="","미응답",IF(NOT(ISNUMBER('채점'!D14)),"잘못된 입력",IF(OR('채점'!D14&lt;1,'채점'!D14&gt;4,MOD('채점'!D14,1)&lt;&gt;0),"잘못된 입력",IF('채점'!D14='채점'!D$8,"정답","오답"))))))</x:f>
        <x:v>정답</x:v>
      </x:c>
      <x:c r="E12" s="2" t="str">
        <x:f>IF('채점'!$C14="결시","결시",IF('채점'!E$45&lt;&gt;"등록","정답 미등록",IF('채점'!E14="","미응답",IF(NOT(ISNUMBER('채점'!E14)),"잘못된 입력",IF(OR('채점'!E14&lt;1,'채점'!E14&gt;4,MOD('채점'!E14,1)&lt;&gt;0),"잘못된 입력",IF('채점'!E14='채점'!E$8,"정답","오답"))))))</x:f>
        <x:v>정답</x:v>
      </x:c>
      <x:c r="F12" s="2" t="str">
        <x:f>IF('채점'!$C14="결시","결시",IF('채점'!F$45&lt;&gt;"등록","정답 미등록",IF('채점'!F14="","미응답",IF(NOT(ISNUMBER('채점'!F14)),"잘못된 입력",IF(OR('채점'!F14&lt;1,'채점'!F14&gt;4,MOD('채점'!F14,1)&lt;&gt;0),"잘못된 입력",IF('채점'!F14='채점'!F$8,"정답","오답"))))))</x:f>
        <x:v>오답</x:v>
      </x:c>
      <x:c r="G12" s="2" t="str">
        <x:f>IF('채점'!$C14="결시","결시",IF('채점'!G$45&lt;&gt;"등록","정답 미등록",IF('채점'!G14="","미응답",IF(NOT(ISNUMBER('채점'!G14)),"잘못된 입력",IF(OR('채점'!G14&lt;1,'채점'!G14&gt;4,MOD('채점'!G14,1)&lt;&gt;0),"잘못된 입력",IF('채점'!G14='채점'!G$8,"정답","오답"))))))</x:f>
        <x:v>오답</x:v>
      </x:c>
      <x:c r="H12" s="2" t="str">
        <x:f>IF('채점'!$C14="결시","결시",IF('채점'!H$45&lt;&gt;"등록","정답 미등록",IF('채점'!H14="","미응답",IF(NOT(ISNUMBER('채점'!H14)),"잘못된 입력",IF(OR('채점'!H14&lt;1,'채점'!H14&gt;4,MOD('채점'!H14,1)&lt;&gt;0),"잘못된 입력",IF('채점'!H14='채점'!H$8,"정답","오답"))))))</x:f>
        <x:v>정답</x:v>
      </x:c>
      <x:c r="I12" s="2" t="str">
        <x:f>IF('채점'!$C14="결시","결시",IF('채점'!I$45&lt;&gt;"등록","정답 미등록",IF('채점'!I14="","미응답",IF(NOT(ISNUMBER('채점'!I14)),"잘못된 입력",IF(OR('채점'!I14&lt;1,'채점'!I14&gt;4,MOD('채점'!I14,1)&lt;&gt;0),"잘못된 입력",IF('채점'!I14='채점'!I$8,"정답","오답"))))))</x:f>
        <x:v>오답</x:v>
      </x:c>
      <x:c r="J12" s="2" t="str">
        <x:f>IF('채점'!$C14="결시","결시",IF('채점'!J$45&lt;&gt;"등록","정답 미등록",IF('채점'!J14="","미응답",IF(NOT(ISNUMBER('채점'!J14)),"잘못된 입력",IF(OR('채점'!J14&lt;1,'채점'!J14&gt;4,MOD('채점'!J14,1)&lt;&gt;0),"잘못된 입력",IF('채점'!J14='채점'!J$8,"정답","오답"))))))</x:f>
        <x:v>오답</x:v>
      </x:c>
      <x:c r="K12" s="2" t="str">
        <x:f>IF('채점'!$C14="결시","결시",IF('채점'!K$45&lt;&gt;"등록","정답 미등록",IF('채점'!K14="","미응답",IF(NOT(ISNUMBER('채점'!K14)),"잘못된 입력",IF(OR('채점'!K14&lt;1,'채점'!K14&gt;4,MOD('채점'!K14,1)&lt;&gt;0),"잘못된 입력",IF('채점'!K14='채점'!K$8,"정답","오답"))))))</x:f>
        <x:v>정답</x:v>
      </x:c>
      <x:c r="L12" s="2" t="str">
        <x:f>IF('채점'!$C14="결시","결시",IF('채점'!L$45&lt;&gt;"등록","정답 미등록",IF('채점'!L14="","미응답",IF(NOT(ISNUMBER('채점'!L14)),"잘못된 입력",IF(OR('채점'!L14&lt;1,'채점'!L14&gt;4,MOD('채점'!L14,1)&lt;&gt;0),"잘못된 입력",IF('채점'!L14='채점'!L$8,"정답","오답"))))))</x:f>
        <x:v>정답</x:v>
      </x:c>
      <x:c r="M12" s="2" t="str">
        <x:f>IF('채점'!$C14="결시","결시",IF('채점'!M$45&lt;&gt;"등록","정답 미등록",IF('채점'!M14="","미응답",IF(NOT(ISNUMBER('채점'!M14)),"잘못된 입력",IF(OR('채점'!M14&lt;1,'채점'!M14&gt;4,MOD('채점'!M14,1)&lt;&gt;0),"잘못된 입력",IF('채점'!M14='채점'!M$8,"정답","오답"))))))</x:f>
        <x:v>오답</x:v>
      </x:c>
      <x:c r="N12" s="2" t="str">
        <x:f>IF('채점'!$C14="결시","결시",IF('채점'!N$45&lt;&gt;"등록","정답 미등록",IF('채점'!N14="","미응답",IF(NOT(ISNUMBER('채점'!N14)),"잘못된 입력",IF(OR('채점'!N14&lt;1,'채점'!N14&gt;4,MOD('채점'!N14,1)&lt;&gt;0),"잘못된 입력",IF('채점'!N14='채점'!N$8,"정답","오답"))))))</x:f>
        <x:v>정답</x:v>
      </x:c>
      <x:c r="O12" s="2" t="str">
        <x:f>IF('채점'!$C14="결시","결시",IF('채점'!O$45&lt;&gt;"등록","정답 미등록",IF('채점'!O14="","미응답",IF(NOT(ISNUMBER('채점'!O14)),"잘못된 입력",IF(OR('채점'!O14&lt;1,'채점'!O14&gt;4,MOD('채점'!O14,1)&lt;&gt;0),"잘못된 입력",IF('채점'!O14='채점'!O$8,"정답","오답"))))))</x:f>
        <x:v>정답</x:v>
      </x:c>
      <x:c r="P12" s="2" t="str">
        <x:f>IF('채점'!$C14="결시","결시",IF('채점'!P$45&lt;&gt;"등록","정답 미등록",IF('채점'!P14="","미응답",IF(NOT(ISNUMBER('채점'!P14)),"잘못된 입력",IF(OR('채점'!P14&lt;1,'채점'!P14&gt;4,MOD('채점'!P14,1)&lt;&gt;0),"잘못된 입력",IF('채점'!P14='채점'!P$8,"정답","오답"))))))</x:f>
        <x:v>오답</x:v>
      </x:c>
      <x:c r="Q12" s="2" t="str">
        <x:f>IF('채점'!$C14="결시","결시",IF('채점'!Q$45&lt;&gt;"등록","정답 미등록",IF('채점'!Q14="","미응답",IF(NOT(ISNUMBER('채점'!Q14)),"잘못된 입력",IF(OR('채점'!Q14&lt;1,'채점'!Q14&gt;4,MOD('채점'!Q14,1)&lt;&gt;0),"잘못된 입력",IF('채점'!Q14='채점'!Q$8,"정답","오답"))))))</x:f>
        <x:v>오답</x:v>
      </x:c>
      <x:c r="R12" s="2" t="str">
        <x:f>IF('채점'!$C14="결시","결시",IF('채점'!R$45&lt;&gt;"등록","정답 미등록",IF('채점'!R14="","미응답",IF(NOT(ISNUMBER('채점'!R14)),"잘못된 입력",IF(OR('채점'!R14&lt;1,'채점'!R14&gt;4,MOD('채점'!R14,1)&lt;&gt;0),"잘못된 입력",IF('채점'!R14='채점'!R$8,"정답","오답"))))))</x:f>
        <x:v>정답</x:v>
      </x:c>
      <x:c r="S12" s="2" t="str">
        <x:f>IF('채점'!$C14="결시","결시",IF('채점'!S$45&lt;&gt;"등록","정답 미등록",IF('채점'!S14="","미응답",IF(NOT(ISNUMBER('채점'!S14)),"잘못된 입력",IF(OR('채점'!S14&lt;1,'채점'!S14&gt;4,MOD('채점'!S14,1)&lt;&gt;0),"잘못된 입력",IF('채점'!S14='채점'!S$8,"정답","오답"))))))</x:f>
        <x:v>오답</x:v>
      </x:c>
      <x:c r="T12" s="2" t="str">
        <x:f>IF('채점'!$C14="결시","결시",IF('채점'!T$45&lt;&gt;"등록","정답 미등록",IF('채점'!T14="","미응답",IF(NOT(ISNUMBER('채점'!T14)),"잘못된 입력",IF(OR('채점'!T14&lt;1,'채점'!T14&gt;4,MOD('채점'!T14,1)&lt;&gt;0),"잘못된 입력",IF('채점'!T14='채점'!T$8,"정답","오답"))))))</x:f>
        <x:v>오답</x:v>
      </x:c>
      <x:c r="U12" s="2" t="str">
        <x:f>IF('채점'!$C14="결시","결시",IF('채점'!U$45&lt;&gt;"등록","정답 미등록",IF('채점'!U14="","미응답",IF(NOT(ISNUMBER('채점'!U14)),"잘못된 입력",IF(OR('채점'!U14&lt;1,'채점'!U14&gt;4,MOD('채점'!U14,1)&lt;&gt;0),"잘못된 입력",IF('채점'!U14='채점'!U$8,"정답","오답"))))))</x:f>
        <x:v>정답</x:v>
      </x:c>
      <x:c r="V12" s="2" t="str">
        <x:f>IF('채점'!$C14="결시","결시",IF('채점'!V$45&lt;&gt;"등록","정답 미등록",IF('채점'!V14="","미응답",IF(NOT(ISNUMBER('채점'!V14)),"잘못된 입력",IF(OR('채점'!V14&lt;1,'채점'!V14&gt;4,MOD('채점'!V14,1)&lt;&gt;0),"잘못된 입력",IF('채점'!V14='채점'!V$8,"정답","오답"))))))</x:f>
        <x:v>정답</x:v>
      </x:c>
      <x:c r="W12" s="2" t="str">
        <x:f>IF('채점'!$C14="결시","결시",IF('채점'!W$45&lt;&gt;"등록","정답 미등록",IF('채점'!W14="","미응답",IF(NOT(ISNUMBER('채점'!W14)),"잘못된 입력",IF(OR('채점'!W14&lt;1,'채점'!W14&gt;4,MOD('채점'!W14,1)&lt;&gt;0),"잘못된 입력",IF('채점'!W14='채점'!W$8,"정답","오답"))))))</x:f>
        <x:v>오답</x:v>
      </x:c>
      <x:c r="X12" s="2" t="str">
        <x:f>IF('채점'!$C14="결시","결시",IF('채점'!X$45&lt;&gt;"등록","정답 미등록",IF('채점'!X14="","미응답",IF(NOT(ISNUMBER('채점'!X14)),"잘못된 입력",IF(OR('채점'!X14&lt;1,'채점'!X14&gt;4,MOD('채점'!X14,1)&lt;&gt;0),"잘못된 입력",IF('채점'!X14='채점'!X$8,"정답","오답"))))))</x:f>
        <x:v>정답</x:v>
      </x:c>
      <x:c r="Y12" s="2" t="str">
        <x:f>IF('채점'!$C14="결시","결시",IF('채점'!Y$45&lt;&gt;"등록","정답 미등록",IF('채점'!Y14="","미응답",IF(NOT(ISNUMBER('채점'!Y14)),"잘못된 입력",IF(OR('채점'!Y14&lt;1,'채점'!Y14&gt;4,MOD('채점'!Y14,1)&lt;&gt;0),"잘못된 입력",IF('채점'!Y14='채점'!Y$8,"정답","오답"))))))</x:f>
        <x:v>정답</x:v>
      </x:c>
      <x:c r="Z12" s="2" t="str">
        <x:f>IF('채점'!$C14="결시","결시",IF('채점'!Z$45&lt;&gt;"등록","정답 미등록",IF('채점'!Z14="","미응답",IF(NOT(ISNUMBER('채점'!Z14)),"잘못된 입력",IF(OR('채점'!Z14&lt;1,'채점'!Z14&gt;4,MOD('채점'!Z14,1)&lt;&gt;0),"잘못된 입력",IF('채점'!Z14='채점'!Z$8,"정답","오답"))))))</x:f>
        <x:v>오답</x:v>
      </x:c>
      <x:c r="AA12" s="2" t="str">
        <x:f>IF('채점'!$C14="결시","결시",IF('채점'!AA$45&lt;&gt;"등록","정답 미등록",IF('채점'!AA14="","미응답",IF(NOT(ISNUMBER('채점'!AA14)),"잘못된 입력",IF(OR('채점'!AA14&lt;1,'채점'!AA14&gt;4,MOD('채점'!AA14,1)&lt;&gt;0),"잘못된 입력",IF('채점'!AA14='채점'!AA$8,"정답","오답"))))))</x:f>
        <x:v>오답</x:v>
      </x:c>
      <x:c r="AB12" s="2" t="str">
        <x:f>IF('채점'!$C14="결시","결시",IF('채점'!AB$45&lt;&gt;"등록","정답 미등록",IF('채점'!AB14="","미응답",IF(NOT(ISNUMBER('채점'!AB14)),"잘못된 입력",IF(OR('채점'!AB14&lt;1,'채점'!AB14&gt;4,MOD('채점'!AB14,1)&lt;&gt;0),"잘못된 입력",IF('채점'!AB14='채점'!AB$8,"정답","오답"))))))</x:f>
        <x:v>정답</x:v>
      </x:c>
      <x:c r="AC12" s="2" t="str">
        <x:f>IF('채점'!$C14="결시","결시",IF('채점'!AC$45&lt;&gt;"등록","정답 미등록",IF('채점'!AC14="","미응답",IF(NOT(ISNUMBER('채점'!AC14)),"잘못된 입력",IF(OR('채점'!AC14&lt;1,'채점'!AC14&gt;4,MOD('채점'!AC14,1)&lt;&gt;0),"잘못된 입력",IF('채점'!AC14='채점'!AC$8,"정답","오답"))))))</x:f>
        <x:v>오답</x:v>
      </x:c>
      <x:c r="AD12" s="2" t="str">
        <x:f>IF('채점'!$C14="결시","결시",IF('채점'!AD$45&lt;&gt;"등록","정답 미등록",IF('채점'!AD14="","미응답",IF(NOT(ISNUMBER('채점'!AD14)),"잘못된 입력",IF(OR('채점'!AD14&lt;1,'채점'!AD14&gt;4,MOD('채점'!AD14,1)&lt;&gt;0),"잘못된 입력",IF('채점'!AD14='채점'!AD$8,"정답","오답"))))))</x:f>
        <x:v>오답</x:v>
      </x:c>
      <x:c r="AE12" s="2" t="str">
        <x:f>IF('채점'!$C14="결시","결시",IF('채점'!AE$45&lt;&gt;"등록","정답 미등록",IF('채점'!AE14="","미응답",IF(NOT(ISNUMBER('채점'!AE14)),"잘못된 입력",IF(OR('채점'!AE14&lt;1,'채점'!AE14&gt;4,MOD('채점'!AE14,1)&lt;&gt;0),"잘못된 입력",IF('채점'!AE14='채점'!AE$8,"정답","오답"))))))</x:f>
        <x:v>정답</x:v>
      </x:c>
      <x:c r="AF12" s="2" t="str">
        <x:f>IF('채점'!$C14="결시","결시",IF('채점'!AF$45&lt;&gt;"등록","정답 미등록",IF('채점'!AF14="","미응답",IF(NOT(ISNUMBER('채점'!AF14)),"잘못된 입력",IF(OR('채점'!AF14&lt;1,'채점'!AF14&gt;4,MOD('채점'!AF14,1)&lt;&gt;0),"잘못된 입력",IF('채점'!AF14='채점'!AF$8,"정답","오답"))))))</x:f>
        <x:v>정답</x:v>
      </x:c>
      <x:c r="AG12" s="2" t="str">
        <x:f>IF('채점'!$C14="결시","결시",IF('채점'!AG$45&lt;&gt;"등록","정답 미등록",IF('채점'!AG14="","미응답",IF(NOT(ISNUMBER('채점'!AG14)),"잘못된 입력",IF(OR('채점'!AG14&lt;1,'채점'!AG14&gt;4,MOD('채점'!AG14,1)&lt;&gt;0),"잘못된 입력",IF('채점'!AG14='채점'!AG$8,"정답","오답"))))))</x:f>
        <x:v>오답</x:v>
      </x:c>
      <x:c r="AH12" s="2" t="str">
        <x:f>IF('채점'!$C14="결시","결시",IF('채점'!AH$45&lt;&gt;"등록","정답 미등록",IF('채점'!AH14="","미응답",IF(NOT(ISNUMBER('채점'!AH14)),"잘못된 입력",IF(OR('채점'!AH14&lt;1,'채점'!AH14&gt;4,MOD('채점'!AH14,1)&lt;&gt;0),"잘못된 입력",IF('채점'!AH14='채점'!AH$8,"정답","오답"))))))</x:f>
        <x:v>정답</x:v>
      </x:c>
      <x:c r="AI12" s="2" t="str">
        <x:f>IF('채점'!$C14="결시","결시",IF('채점'!AI$45&lt;&gt;"등록","정답 미등록",IF('채점'!AI14="","미응답",IF(NOT(ISNUMBER('채점'!AI14)),"잘못된 입력",IF(OR('채점'!AI14&lt;1,'채점'!AI14&gt;4,MOD('채점'!AI14,1)&lt;&gt;0),"잘못된 입력",IF('채점'!AI14='채점'!AI$8,"정답","오답"))))))</x:f>
        <x:v>정답</x:v>
      </x:c>
      <x:c r="AJ12" s="2" t="str">
        <x:f>IF('채점'!$C14="결시","결시",IF('채점'!AJ$45&lt;&gt;"등록","정답 미등록",IF('채점'!AJ14="","미응답",IF(NOT(ISNUMBER('채점'!AJ14)),"잘못된 입력",IF(OR('채점'!AJ14&lt;1,'채점'!AJ14&gt;4,MOD('채점'!AJ14,1)&lt;&gt;0),"잘못된 입력",IF('채점'!AJ14='채점'!AJ$8,"정답","오답"))))))</x:f>
        <x:v>오답</x:v>
      </x:c>
      <x:c r="AK12" s="2" t="str">
        <x:f>IF('채점'!$C14="결시","결시",IF('채점'!AK$45&lt;&gt;"등록","정답 미등록",IF('채점'!AK14="","미응답",IF(NOT(ISNUMBER('채점'!AK14)),"잘못된 입력",IF(OR('채점'!AK14&lt;1,'채점'!AK14&gt;4,MOD('채점'!AK14,1)&lt;&gt;0),"잘못된 입력",IF('채점'!AK14='채점'!AK$8,"정답","오답"))))))</x:f>
        <x:v>오답</x:v>
      </x:c>
      <x:c r="AL12" s="2" t="str">
        <x:f>IF('채점'!$C14="결시","결시",IF('채점'!AL$45&lt;&gt;"등록","정답 미등록",IF('채점'!AL14="","미응답",IF(NOT(ISNUMBER('채점'!AL14)),"잘못된 입력",IF(OR('채점'!AL14&lt;1,'채점'!AL14&gt;4,MOD('채점'!AL14,1)&lt;&gt;0),"잘못된 입력",IF('채점'!AL14='채점'!AL$8,"정답","오답"))))))</x:f>
        <x:v>정답</x:v>
      </x:c>
      <x:c r="AM12" s="2" t="str">
        <x:f>IF('채점'!$C14="결시","결시",IF('채점'!AM$45&lt;&gt;"등록","정답 미등록",IF('채점'!AM14="","미응답",IF(NOT(ISNUMBER('채점'!AM14)),"잘못된 입력",IF(OR('채점'!AM14&lt;1,'채점'!AM14&gt;4,MOD('채점'!AM14,1)&lt;&gt;0),"잘못된 입력",IF('채점'!AM14='채점'!AM$8,"정답","오답"))))))</x:f>
        <x:v>오답</x:v>
      </x:c>
      <x:c r="AN12" s="2" t="str">
        <x:f>IF('채점'!$C14="결시","결시",IF('채점'!AN$45&lt;&gt;"등록","정답 미등록",IF('채점'!AN14="","미응답",IF(NOT(ISNUMBER('채점'!AN14)),"잘못된 입력",IF(OR('채점'!AN14&lt;1,'채점'!AN14&gt;4,MOD('채점'!AN14,1)&lt;&gt;0),"잘못된 입력",IF('채점'!AN14='채점'!AN$8,"정답","오답"))))))</x:f>
        <x:v>오답</x:v>
      </x:c>
      <x:c r="AO12" s="2" t="str">
        <x:f>IF('채점'!$C14="결시","결시",IF('채점'!AO$45&lt;&gt;"등록","정답 미등록",IF('채점'!AO14="","미응답",IF(NOT(ISNUMBER('채점'!AO14)),"잘못된 입력",IF(OR('채점'!AO14&lt;1,'채점'!AO14&gt;4,MOD('채점'!AO14,1)&lt;&gt;0),"잘못된 입력",IF('채점'!AO14='채점'!AO$8,"정답","오답"))))))</x:f>
        <x:v>정답</x:v>
      </x:c>
      <x:c r="AP12" s="2" t="str">
        <x:f>IF('채점'!$C14="결시","결시",IF('채점'!AP$45&lt;&gt;"등록","정답 미등록",IF('채점'!AP14="","미응답",IF(NOT(ISNUMBER('채점'!AP14)),"잘못된 입력",IF(OR('채점'!AP14&lt;1,'채점'!AP14&gt;4,MOD('채점'!AP14,1)&lt;&gt;0),"잘못된 입력",IF('채점'!AP14='채점'!AP$8,"정답","오답"))))))</x:f>
        <x:v>정답</x:v>
      </x:c>
      <x:c r="AQ12" s="2" t="str">
        <x:f>IF('채점'!$C14="결시","결시",IF('채점'!AQ$45&lt;&gt;"등록","정답 미등록",IF('채점'!AQ14="","미응답",IF(NOT(ISNUMBER('채점'!AQ14)),"잘못된 입력",IF(OR('채점'!AQ14&lt;1,'채점'!AQ14&gt;4,MOD('채점'!AQ14,1)&lt;&gt;0),"잘못된 입력",IF('채점'!AQ14='채점'!AQ$8,"정답","오답"))))))</x:f>
        <x:v>오답</x:v>
      </x:c>
    </x:row>
    <x:row r="13" ht="25" customHeight="1">
      <x:c r="A13" s="2" t="str">
        <x:f>'채점'!A15</x:f>
        <x:v>S006</x:v>
      </x:c>
      <x:c r="B13" s="2" t="str">
        <x:f>'채점'!C15</x:f>
        <x:v>응시</x:v>
      </x:c>
      <x:c r="C13" s="2"/>
      <x:c r="D13" s="2" t="str">
        <x:f>IF('채점'!$C15="결시","결시",IF('채점'!D$45&lt;&gt;"등록","정답 미등록",IF('채점'!D15="","미응답",IF(NOT(ISNUMBER('채점'!D15)),"잘못된 입력",IF(OR('채점'!D15&lt;1,'채점'!D15&gt;4,MOD('채점'!D15,1)&lt;&gt;0),"잘못된 입력",IF('채점'!D15='채점'!D$8,"정답","오답"))))))</x:f>
        <x:v>정답</x:v>
      </x:c>
      <x:c r="E13" s="2" t="str">
        <x:f>IF('채점'!$C15="결시","결시",IF('채점'!E$45&lt;&gt;"등록","정답 미등록",IF('채점'!E15="","미응답",IF(NOT(ISNUMBER('채점'!E15)),"잘못된 입력",IF(OR('채점'!E15&lt;1,'채점'!E15&gt;4,MOD('채점'!E15,1)&lt;&gt;0),"잘못된 입력",IF('채점'!E15='채점'!E$8,"정답","오답"))))))</x:f>
        <x:v>정답</x:v>
      </x:c>
      <x:c r="F13" s="2" t="str">
        <x:f>IF('채점'!$C15="결시","결시",IF('채점'!F$45&lt;&gt;"등록","정답 미등록",IF('채점'!F15="","미응답",IF(NOT(ISNUMBER('채점'!F15)),"잘못된 입력",IF(OR('채점'!F15&lt;1,'채점'!F15&gt;4,MOD('채점'!F15,1)&lt;&gt;0),"잘못된 입력",IF('채점'!F15='채점'!F$8,"정답","오답"))))))</x:f>
        <x:v>오답</x:v>
      </x:c>
      <x:c r="G13" s="2" t="str">
        <x:f>IF('채점'!$C15="결시","결시",IF('채점'!G$45&lt;&gt;"등록","정답 미등록",IF('채점'!G15="","미응답",IF(NOT(ISNUMBER('채점'!G15)),"잘못된 입력",IF(OR('채점'!G15&lt;1,'채점'!G15&gt;4,MOD('채점'!G15,1)&lt;&gt;0),"잘못된 입력",IF('채점'!G15='채점'!G$8,"정답","오답"))))))</x:f>
        <x:v>오답</x:v>
      </x:c>
      <x:c r="H13" s="2" t="str">
        <x:f>IF('채점'!$C15="결시","결시",IF('채점'!H$45&lt;&gt;"등록","정답 미등록",IF('채점'!H15="","미응답",IF(NOT(ISNUMBER('채점'!H15)),"잘못된 입력",IF(OR('채점'!H15&lt;1,'채점'!H15&gt;4,MOD('채점'!H15,1)&lt;&gt;0),"잘못된 입력",IF('채점'!H15='채점'!H$8,"정답","오답"))))))</x:f>
        <x:v>정답</x:v>
      </x:c>
      <x:c r="I13" s="2" t="str">
        <x:f>IF('채점'!$C15="결시","결시",IF('채점'!I$45&lt;&gt;"등록","정답 미등록",IF('채점'!I15="","미응답",IF(NOT(ISNUMBER('채점'!I15)),"잘못된 입력",IF(OR('채점'!I15&lt;1,'채점'!I15&gt;4,MOD('채점'!I15,1)&lt;&gt;0),"잘못된 입력",IF('채점'!I15='채점'!I$8,"정답","오답"))))))</x:f>
        <x:v>정답</x:v>
      </x:c>
      <x:c r="J13" s="2" t="str">
        <x:f>IF('채점'!$C15="결시","결시",IF('채점'!J$45&lt;&gt;"등록","정답 미등록",IF('채점'!J15="","미응답",IF(NOT(ISNUMBER('채점'!J15)),"잘못된 입력",IF(OR('채점'!J15&lt;1,'채점'!J15&gt;4,MOD('채점'!J15,1)&lt;&gt;0),"잘못된 입력",IF('채점'!J15='채점'!J$8,"정답","오답"))))))</x:f>
        <x:v>오답</x:v>
      </x:c>
      <x:c r="K13" s="2" t="str">
        <x:f>IF('채점'!$C15="결시","결시",IF('채점'!K$45&lt;&gt;"등록","정답 미등록",IF('채점'!K15="","미응답",IF(NOT(ISNUMBER('채점'!K15)),"잘못된 입력",IF(OR('채점'!K15&lt;1,'채점'!K15&gt;4,MOD('채점'!K15,1)&lt;&gt;0),"잘못된 입력",IF('채점'!K15='채점'!K$8,"정답","오답"))))))</x:f>
        <x:v>정답</x:v>
      </x:c>
      <x:c r="L13" s="2" t="str">
        <x:f>IF('채점'!$C15="결시","결시",IF('채점'!L$45&lt;&gt;"등록","정답 미등록",IF('채점'!L15="","미응답",IF(NOT(ISNUMBER('채점'!L15)),"잘못된 입력",IF(OR('채점'!L15&lt;1,'채점'!L15&gt;4,MOD('채점'!L15,1)&lt;&gt;0),"잘못된 입력",IF('채점'!L15='채점'!L$8,"정답","오답"))))))</x:f>
        <x:v>정답</x:v>
      </x:c>
      <x:c r="M13" s="2" t="str">
        <x:f>IF('채점'!$C15="결시","결시",IF('채점'!M$45&lt;&gt;"등록","정답 미등록",IF('채점'!M15="","미응답",IF(NOT(ISNUMBER('채점'!M15)),"잘못된 입력",IF(OR('채점'!M15&lt;1,'채점'!M15&gt;4,MOD('채점'!M15,1)&lt;&gt;0),"잘못된 입력",IF('채점'!M15='채점'!M$8,"정답","오답"))))))</x:f>
        <x:v>오답</x:v>
      </x:c>
      <x:c r="N13" s="2" t="str">
        <x:f>IF('채점'!$C15="결시","결시",IF('채점'!N$45&lt;&gt;"등록","정답 미등록",IF('채점'!N15="","미응답",IF(NOT(ISNUMBER('채점'!N15)),"잘못된 입력",IF(OR('채점'!N15&lt;1,'채점'!N15&gt;4,MOD('채점'!N15,1)&lt;&gt;0),"잘못된 입력",IF('채점'!N15='채점'!N$8,"정답","오답"))))))</x:f>
        <x:v>정답</x:v>
      </x:c>
      <x:c r="O13" s="2" t="str">
        <x:f>IF('채점'!$C15="결시","결시",IF('채점'!O$45&lt;&gt;"등록","정답 미등록",IF('채점'!O15="","미응답",IF(NOT(ISNUMBER('채점'!O15)),"잘못된 입력",IF(OR('채점'!O15&lt;1,'채점'!O15&gt;4,MOD('채점'!O15,1)&lt;&gt;0),"잘못된 입력",IF('채점'!O15='채점'!O$8,"정답","오답"))))))</x:f>
        <x:v>정답</x:v>
      </x:c>
      <x:c r="P13" s="2" t="str">
        <x:f>IF('채점'!$C15="결시","결시",IF('채점'!P$45&lt;&gt;"등록","정답 미등록",IF('채점'!P15="","미응답",IF(NOT(ISNUMBER('채점'!P15)),"잘못된 입력",IF(OR('채점'!P15&lt;1,'채점'!P15&gt;4,MOD('채점'!P15,1)&lt;&gt;0),"잘못된 입력",IF('채점'!P15='채점'!P$8,"정답","오답"))))))</x:f>
        <x:v>오답</x:v>
      </x:c>
      <x:c r="Q13" s="2" t="str">
        <x:f>IF('채점'!$C15="결시","결시",IF('채점'!Q$45&lt;&gt;"등록","정답 미등록",IF('채점'!Q15="","미응답",IF(NOT(ISNUMBER('채점'!Q15)),"잘못된 입력",IF(OR('채점'!Q15&lt;1,'채점'!Q15&gt;4,MOD('채점'!Q15,1)&lt;&gt;0),"잘못된 입력",IF('채점'!Q15='채점'!Q$8,"정답","오답"))))))</x:f>
        <x:v>오답</x:v>
      </x:c>
      <x:c r="R13" s="2" t="str">
        <x:f>IF('채점'!$C15="결시","결시",IF('채점'!R$45&lt;&gt;"등록","정답 미등록",IF('채점'!R15="","미응답",IF(NOT(ISNUMBER('채점'!R15)),"잘못된 입력",IF(OR('채점'!R15&lt;1,'채점'!R15&gt;4,MOD('채점'!R15,1)&lt;&gt;0),"잘못된 입력",IF('채점'!R15='채점'!R$8,"정답","오답"))))))</x:f>
        <x:v>정답</x:v>
      </x:c>
      <x:c r="S13" s="2" t="str">
        <x:f>IF('채점'!$C15="결시","결시",IF('채점'!S$45&lt;&gt;"등록","정답 미등록",IF('채점'!S15="","미응답",IF(NOT(ISNUMBER('채점'!S15)),"잘못된 입력",IF(OR('채점'!S15&lt;1,'채점'!S15&gt;4,MOD('채점'!S15,1)&lt;&gt;0),"잘못된 입력",IF('채점'!S15='채점'!S$8,"정답","오답"))))))</x:f>
        <x:v>정답</x:v>
      </x:c>
      <x:c r="T13" s="2" t="str">
        <x:f>IF('채점'!$C15="결시","결시",IF('채점'!T$45&lt;&gt;"등록","정답 미등록",IF('채점'!T15="","미응답",IF(NOT(ISNUMBER('채점'!T15)),"잘못된 입력",IF(OR('채점'!T15&lt;1,'채점'!T15&gt;4,MOD('채점'!T15,1)&lt;&gt;0),"잘못된 입력",IF('채점'!T15='채점'!T$8,"정답","오답"))))))</x:f>
        <x:v>오답</x:v>
      </x:c>
      <x:c r="U13" s="2" t="str">
        <x:f>IF('채점'!$C15="결시","결시",IF('채점'!U$45&lt;&gt;"등록","정답 미등록",IF('채점'!U15="","미응답",IF(NOT(ISNUMBER('채점'!U15)),"잘못된 입력",IF(OR('채점'!U15&lt;1,'채점'!U15&gt;4,MOD('채점'!U15,1)&lt;&gt;0),"잘못된 입력",IF('채점'!U15='채점'!U$8,"정답","오답"))))))</x:f>
        <x:v>정답</x:v>
      </x:c>
      <x:c r="V13" s="2" t="str">
        <x:f>IF('채점'!$C15="결시","결시",IF('채점'!V$45&lt;&gt;"등록","정답 미등록",IF('채점'!V15="","미응답",IF(NOT(ISNUMBER('채점'!V15)),"잘못된 입력",IF(OR('채점'!V15&lt;1,'채점'!V15&gt;4,MOD('채점'!V15,1)&lt;&gt;0),"잘못된 입력",IF('채점'!V15='채점'!V$8,"정답","오답"))))))</x:f>
        <x:v>정답</x:v>
      </x:c>
      <x:c r="W13" s="2" t="str">
        <x:f>IF('채점'!$C15="결시","결시",IF('채점'!W$45&lt;&gt;"등록","정답 미등록",IF('채점'!W15="","미응답",IF(NOT(ISNUMBER('채점'!W15)),"잘못된 입력",IF(OR('채점'!W15&lt;1,'채점'!W15&gt;4,MOD('채점'!W15,1)&lt;&gt;0),"잘못된 입력",IF('채점'!W15='채점'!W$8,"정답","오답"))))))</x:f>
        <x:v>오답</x:v>
      </x:c>
      <x:c r="X13" s="2" t="str">
        <x:f>IF('채점'!$C15="결시","결시",IF('채점'!X$45&lt;&gt;"등록","정답 미등록",IF('채점'!X15="","미응답",IF(NOT(ISNUMBER('채점'!X15)),"잘못된 입력",IF(OR('채점'!X15&lt;1,'채점'!X15&gt;4,MOD('채점'!X15,1)&lt;&gt;0),"잘못된 입력",IF('채점'!X15='채점'!X$8,"정답","오답"))))))</x:f>
        <x:v>정답</x:v>
      </x:c>
      <x:c r="Y13" s="2" t="str">
        <x:f>IF('채점'!$C15="결시","결시",IF('채점'!Y$45&lt;&gt;"등록","정답 미등록",IF('채점'!Y15="","미응답",IF(NOT(ISNUMBER('채점'!Y15)),"잘못된 입력",IF(OR('채점'!Y15&lt;1,'채점'!Y15&gt;4,MOD('채점'!Y15,1)&lt;&gt;0),"잘못된 입력",IF('채점'!Y15='채점'!Y$8,"정답","오답"))))))</x:f>
        <x:v>정답</x:v>
      </x:c>
      <x:c r="Z13" s="2" t="str">
        <x:f>IF('채점'!$C15="결시","결시",IF('채점'!Z$45&lt;&gt;"등록","정답 미등록",IF('채점'!Z15="","미응답",IF(NOT(ISNUMBER('채점'!Z15)),"잘못된 입력",IF(OR('채점'!Z15&lt;1,'채점'!Z15&gt;4,MOD('채점'!Z15,1)&lt;&gt;0),"잘못된 입력",IF('채점'!Z15='채점'!Z$8,"정답","오답"))))))</x:f>
        <x:v>오답</x:v>
      </x:c>
      <x:c r="AA13" s="2" t="str">
        <x:f>IF('채점'!$C15="결시","결시",IF('채점'!AA$45&lt;&gt;"등록","정답 미등록",IF('채점'!AA15="","미응답",IF(NOT(ISNUMBER('채점'!AA15)),"잘못된 입력",IF(OR('채점'!AA15&lt;1,'채점'!AA15&gt;4,MOD('채점'!AA15,1)&lt;&gt;0),"잘못된 입력",IF('채점'!AA15='채점'!AA$8,"정답","오답"))))))</x:f>
        <x:v>오답</x:v>
      </x:c>
      <x:c r="AB13" s="2" t="str">
        <x:f>IF('채점'!$C15="결시","결시",IF('채점'!AB$45&lt;&gt;"등록","정답 미등록",IF('채점'!AB15="","미응답",IF(NOT(ISNUMBER('채점'!AB15)),"잘못된 입력",IF(OR('채점'!AB15&lt;1,'채점'!AB15&gt;4,MOD('채점'!AB15,1)&lt;&gt;0),"잘못된 입력",IF('채점'!AB15='채점'!AB$8,"정답","오답"))))))</x:f>
        <x:v>정답</x:v>
      </x:c>
      <x:c r="AC13" s="2" t="str">
        <x:f>IF('채점'!$C15="결시","결시",IF('채점'!AC$45&lt;&gt;"등록","정답 미등록",IF('채점'!AC15="","미응답",IF(NOT(ISNUMBER('채점'!AC15)),"잘못된 입력",IF(OR('채점'!AC15&lt;1,'채점'!AC15&gt;4,MOD('채점'!AC15,1)&lt;&gt;0),"잘못된 입력",IF('채점'!AC15='채점'!AC$8,"정답","오답"))))))</x:f>
        <x:v>정답</x:v>
      </x:c>
      <x:c r="AD13" s="2" t="str">
        <x:f>IF('채점'!$C15="결시","결시",IF('채점'!AD$45&lt;&gt;"등록","정답 미등록",IF('채점'!AD15="","미응답",IF(NOT(ISNUMBER('채점'!AD15)),"잘못된 입력",IF(OR('채점'!AD15&lt;1,'채점'!AD15&gt;4,MOD('채점'!AD15,1)&lt;&gt;0),"잘못된 입력",IF('채점'!AD15='채점'!AD$8,"정답","오답"))))))</x:f>
        <x:v>오답</x:v>
      </x:c>
      <x:c r="AE13" s="2" t="str">
        <x:f>IF('채점'!$C15="결시","결시",IF('채점'!AE$45&lt;&gt;"등록","정답 미등록",IF('채점'!AE15="","미응답",IF(NOT(ISNUMBER('채점'!AE15)),"잘못된 입력",IF(OR('채점'!AE15&lt;1,'채점'!AE15&gt;4,MOD('채점'!AE15,1)&lt;&gt;0),"잘못된 입력",IF('채점'!AE15='채점'!AE$8,"정답","오답"))))))</x:f>
        <x:v>정답</x:v>
      </x:c>
      <x:c r="AF13" s="2" t="str">
        <x:f>IF('채점'!$C15="결시","결시",IF('채점'!AF$45&lt;&gt;"등록","정답 미등록",IF('채점'!AF15="","미응답",IF(NOT(ISNUMBER('채점'!AF15)),"잘못된 입력",IF(OR('채점'!AF15&lt;1,'채점'!AF15&gt;4,MOD('채점'!AF15,1)&lt;&gt;0),"잘못된 입력",IF('채점'!AF15='채점'!AF$8,"정답","오답"))))))</x:f>
        <x:v>정답</x:v>
      </x:c>
      <x:c r="AG13" s="2" t="str">
        <x:f>IF('채점'!$C15="결시","결시",IF('채점'!AG$45&lt;&gt;"등록","정답 미등록",IF('채점'!AG15="","미응답",IF(NOT(ISNUMBER('채점'!AG15)),"잘못된 입력",IF(OR('채점'!AG15&lt;1,'채점'!AG15&gt;4,MOD('채점'!AG15,1)&lt;&gt;0),"잘못된 입력",IF('채점'!AG15='채점'!AG$8,"정답","오답"))))))</x:f>
        <x:v>오답</x:v>
      </x:c>
      <x:c r="AH13" s="2" t="str">
        <x:f>IF('채점'!$C15="결시","결시",IF('채점'!AH$45&lt;&gt;"등록","정답 미등록",IF('채점'!AH15="","미응답",IF(NOT(ISNUMBER('채점'!AH15)),"잘못된 입력",IF(OR('채점'!AH15&lt;1,'채점'!AH15&gt;4,MOD('채점'!AH15,1)&lt;&gt;0),"잘못된 입력",IF('채점'!AH15='채점'!AH$8,"정답","오답"))))))</x:f>
        <x:v>정답</x:v>
      </x:c>
      <x:c r="AI13" s="2" t="str">
        <x:f>IF('채점'!$C15="결시","결시",IF('채점'!AI$45&lt;&gt;"등록","정답 미등록",IF('채점'!AI15="","미응답",IF(NOT(ISNUMBER('채점'!AI15)),"잘못된 입력",IF(OR('채점'!AI15&lt;1,'채점'!AI15&gt;4,MOD('채점'!AI15,1)&lt;&gt;0),"잘못된 입력",IF('채점'!AI15='채점'!AI$8,"정답","오답"))))))</x:f>
        <x:v>정답</x:v>
      </x:c>
      <x:c r="AJ13" s="2" t="str">
        <x:f>IF('채점'!$C15="결시","결시",IF('채점'!AJ$45&lt;&gt;"등록","정답 미등록",IF('채점'!AJ15="","미응답",IF(NOT(ISNUMBER('채점'!AJ15)),"잘못된 입력",IF(OR('채점'!AJ15&lt;1,'채점'!AJ15&gt;4,MOD('채점'!AJ15,1)&lt;&gt;0),"잘못된 입력",IF('채점'!AJ15='채점'!AJ$8,"정답","오답"))))))</x:f>
        <x:v>오답</x:v>
      </x:c>
      <x:c r="AK13" s="2" t="str">
        <x:f>IF('채점'!$C15="결시","결시",IF('채점'!AK$45&lt;&gt;"등록","정답 미등록",IF('채점'!AK15="","미응답",IF(NOT(ISNUMBER('채점'!AK15)),"잘못된 입력",IF(OR('채점'!AK15&lt;1,'채점'!AK15&gt;4,MOD('채점'!AK15,1)&lt;&gt;0),"잘못된 입력",IF('채점'!AK15='채점'!AK$8,"정답","오답"))))))</x:f>
        <x:v>오답</x:v>
      </x:c>
      <x:c r="AL13" s="2" t="str">
        <x:f>IF('채점'!$C15="결시","결시",IF('채점'!AL$45&lt;&gt;"등록","정답 미등록",IF('채점'!AL15="","미응답",IF(NOT(ISNUMBER('채점'!AL15)),"잘못된 입력",IF(OR('채점'!AL15&lt;1,'채점'!AL15&gt;4,MOD('채점'!AL15,1)&lt;&gt;0),"잘못된 입력",IF('채점'!AL15='채점'!AL$8,"정답","오답"))))))</x:f>
        <x:v>정답</x:v>
      </x:c>
      <x:c r="AM13" s="2" t="str">
        <x:f>IF('채점'!$C15="결시","결시",IF('채점'!AM$45&lt;&gt;"등록","정답 미등록",IF('채점'!AM15="","미응답",IF(NOT(ISNUMBER('채점'!AM15)),"잘못된 입력",IF(OR('채점'!AM15&lt;1,'채점'!AM15&gt;4,MOD('채점'!AM15,1)&lt;&gt;0),"잘못된 입력",IF('채점'!AM15='채점'!AM$8,"정답","오답"))))))</x:f>
        <x:v>정답</x:v>
      </x:c>
      <x:c r="AN13" s="2" t="str">
        <x:f>IF('채점'!$C15="결시","결시",IF('채점'!AN$45&lt;&gt;"등록","정답 미등록",IF('채점'!AN15="","미응답",IF(NOT(ISNUMBER('채점'!AN15)),"잘못된 입력",IF(OR('채점'!AN15&lt;1,'채점'!AN15&gt;4,MOD('채점'!AN15,1)&lt;&gt;0),"잘못된 입력",IF('채점'!AN15='채점'!AN$8,"정답","오답"))))))</x:f>
        <x:v>오답</x:v>
      </x:c>
      <x:c r="AO13" s="2" t="str">
        <x:f>IF('채점'!$C15="결시","결시",IF('채점'!AO$45&lt;&gt;"등록","정답 미등록",IF('채점'!AO15="","미응답",IF(NOT(ISNUMBER('채점'!AO15)),"잘못된 입력",IF(OR('채점'!AO15&lt;1,'채점'!AO15&gt;4,MOD('채점'!AO15,1)&lt;&gt;0),"잘못된 입력",IF('채점'!AO15='채점'!AO$8,"정답","오답"))))))</x:f>
        <x:v>정답</x:v>
      </x:c>
      <x:c r="AP13" s="2" t="str">
        <x:f>IF('채점'!$C15="결시","결시",IF('채점'!AP$45&lt;&gt;"등록","정답 미등록",IF('채점'!AP15="","미응답",IF(NOT(ISNUMBER('채점'!AP15)),"잘못된 입력",IF(OR('채점'!AP15&lt;1,'채점'!AP15&gt;4,MOD('채점'!AP15,1)&lt;&gt;0),"잘못된 입력",IF('채점'!AP15='채점'!AP$8,"정답","오답"))))))</x:f>
        <x:v>정답</x:v>
      </x:c>
      <x:c r="AQ13" s="2" t="str">
        <x:f>IF('채점'!$C15="결시","결시",IF('채점'!AQ$45&lt;&gt;"등록","정답 미등록",IF('채점'!AQ15="","미응답",IF(NOT(ISNUMBER('채점'!AQ15)),"잘못된 입력",IF(OR('채점'!AQ15&lt;1,'채점'!AQ15&gt;4,MOD('채점'!AQ15,1)&lt;&gt;0),"잘못된 입력",IF('채점'!AQ15='채점'!AQ$8,"정답","오답"))))))</x:f>
        <x:v>오답</x:v>
      </x:c>
    </x:row>
    <x:row r="14" ht="25" customHeight="1">
      <x:c r="A14" s="2" t="str">
        <x:f>'채점'!A16</x:f>
        <x:v>S007</x:v>
      </x:c>
      <x:c r="B14" s="2" t="str">
        <x:f>'채점'!C16</x:f>
        <x:v>응시</x:v>
      </x:c>
      <x:c r="C14" s="2"/>
      <x:c r="D14" s="2" t="str">
        <x:f>IF('채점'!$C16="결시","결시",IF('채점'!D$45&lt;&gt;"등록","정답 미등록",IF('채점'!D16="","미응답",IF(NOT(ISNUMBER('채점'!D16)),"잘못된 입력",IF(OR('채점'!D16&lt;1,'채점'!D16&gt;4,MOD('채점'!D16,1)&lt;&gt;0),"잘못된 입력",IF('채점'!D16='채점'!D$8,"정답","오답"))))))</x:f>
        <x:v>정답</x:v>
      </x:c>
      <x:c r="E14" s="2" t="str">
        <x:f>IF('채점'!$C16="결시","결시",IF('채점'!E$45&lt;&gt;"등록","정답 미등록",IF('채점'!E16="","미응답",IF(NOT(ISNUMBER('채점'!E16)),"잘못된 입력",IF(OR('채점'!E16&lt;1,'채점'!E16&gt;4,MOD('채점'!E16,1)&lt;&gt;0),"잘못된 입력",IF('채점'!E16='채점'!E$8,"정답","오답"))))))</x:f>
        <x:v>정답</x:v>
      </x:c>
      <x:c r="F14" s="2" t="str">
        <x:f>IF('채점'!$C16="결시","결시",IF('채점'!F$45&lt;&gt;"등록","정답 미등록",IF('채점'!F16="","미응답",IF(NOT(ISNUMBER('채점'!F16)),"잘못된 입력",IF(OR('채점'!F16&lt;1,'채점'!F16&gt;4,MOD('채점'!F16,1)&lt;&gt;0),"잘못된 입력",IF('채점'!F16='채점'!F$8,"정답","오답"))))))</x:f>
        <x:v>정답</x:v>
      </x:c>
      <x:c r="G14" s="2" t="str">
        <x:f>IF('채점'!$C16="결시","결시",IF('채점'!G$45&lt;&gt;"등록","정답 미등록",IF('채점'!G16="","미응답",IF(NOT(ISNUMBER('채점'!G16)),"잘못된 입력",IF(OR('채점'!G16&lt;1,'채점'!G16&gt;4,MOD('채점'!G16,1)&lt;&gt;0),"잘못된 입력",IF('채점'!G16='채점'!G$8,"정답","오답"))))))</x:f>
        <x:v>오답</x:v>
      </x:c>
      <x:c r="H14" s="2" t="str">
        <x:f>IF('채점'!$C16="결시","결시",IF('채점'!H$45&lt;&gt;"등록","정답 미등록",IF('채점'!H16="","미응답",IF(NOT(ISNUMBER('채점'!H16)),"잘못된 입력",IF(OR('채점'!H16&lt;1,'채점'!H16&gt;4,MOD('채점'!H16,1)&lt;&gt;0),"잘못된 입력",IF('채점'!H16='채점'!H$8,"정답","오답"))))))</x:f>
        <x:v>정답</x:v>
      </x:c>
      <x:c r="I14" s="2" t="str">
        <x:f>IF('채점'!$C16="결시","결시",IF('채점'!I$45&lt;&gt;"등록","정답 미등록",IF('채점'!I16="","미응답",IF(NOT(ISNUMBER('채점'!I16)),"잘못된 입력",IF(OR('채점'!I16&lt;1,'채점'!I16&gt;4,MOD('채점'!I16,1)&lt;&gt;0),"잘못된 입력",IF('채점'!I16='채점'!I$8,"정답","오답"))))))</x:f>
        <x:v>정답</x:v>
      </x:c>
      <x:c r="J14" s="2" t="str">
        <x:f>IF('채점'!$C16="결시","결시",IF('채점'!J$45&lt;&gt;"등록","정답 미등록",IF('채점'!J16="","미응답",IF(NOT(ISNUMBER('채점'!J16)),"잘못된 입력",IF(OR('채점'!J16&lt;1,'채점'!J16&gt;4,MOD('채점'!J16,1)&lt;&gt;0),"잘못된 입력",IF('채점'!J16='채점'!J$8,"정답","오답"))))))</x:f>
        <x:v>오답</x:v>
      </x:c>
      <x:c r="K14" s="2" t="str">
        <x:f>IF('채점'!$C16="결시","결시",IF('채점'!K$45&lt;&gt;"등록","정답 미등록",IF('채점'!K16="","미응답",IF(NOT(ISNUMBER('채점'!K16)),"잘못된 입력",IF(OR('채점'!K16&lt;1,'채점'!K16&gt;4,MOD('채점'!K16,1)&lt;&gt;0),"잘못된 입력",IF('채점'!K16='채점'!K$8,"정답","오답"))))))</x:f>
        <x:v>정답</x:v>
      </x:c>
      <x:c r="L14" s="2" t="str">
        <x:f>IF('채점'!$C16="결시","결시",IF('채점'!L$45&lt;&gt;"등록","정답 미등록",IF('채점'!L16="","미응답",IF(NOT(ISNUMBER('채점'!L16)),"잘못된 입력",IF(OR('채점'!L16&lt;1,'채점'!L16&gt;4,MOD('채점'!L16,1)&lt;&gt;0),"잘못된 입력",IF('채점'!L16='채점'!L$8,"정답","오답"))))))</x:f>
        <x:v>정답</x:v>
      </x:c>
      <x:c r="M14" s="2" t="str">
        <x:f>IF('채점'!$C16="결시","결시",IF('채점'!M$45&lt;&gt;"등록","정답 미등록",IF('채점'!M16="","미응답",IF(NOT(ISNUMBER('채점'!M16)),"잘못된 입력",IF(OR('채점'!M16&lt;1,'채점'!M16&gt;4,MOD('채점'!M16,1)&lt;&gt;0),"잘못된 입력",IF('채점'!M16='채점'!M$8,"정답","오답"))))))</x:f>
        <x:v>오답</x:v>
      </x:c>
      <x:c r="N14" s="2" t="str">
        <x:f>IF('채점'!$C16="결시","결시",IF('채점'!N$45&lt;&gt;"등록","정답 미등록",IF('채점'!N16="","미응답",IF(NOT(ISNUMBER('채점'!N16)),"잘못된 입력",IF(OR('채점'!N16&lt;1,'채점'!N16&gt;4,MOD('채점'!N16,1)&lt;&gt;0),"잘못된 입력",IF('채점'!N16='채점'!N$8,"정답","오답"))))))</x:f>
        <x:v>정답</x:v>
      </x:c>
      <x:c r="O14" s="2" t="str">
        <x:f>IF('채점'!$C16="결시","결시",IF('채점'!O$45&lt;&gt;"등록","정답 미등록",IF('채점'!O16="","미응답",IF(NOT(ISNUMBER('채점'!O16)),"잘못된 입력",IF(OR('채점'!O16&lt;1,'채점'!O16&gt;4,MOD('채점'!O16,1)&lt;&gt;0),"잘못된 입력",IF('채점'!O16='채점'!O$8,"정답","오답"))))))</x:f>
        <x:v>정답</x:v>
      </x:c>
      <x:c r="P14" s="2" t="str">
        <x:f>IF('채점'!$C16="결시","결시",IF('채점'!P$45&lt;&gt;"등록","정답 미등록",IF('채점'!P16="","미응답",IF(NOT(ISNUMBER('채점'!P16)),"잘못된 입력",IF(OR('채점'!P16&lt;1,'채점'!P16&gt;4,MOD('채점'!P16,1)&lt;&gt;0),"잘못된 입력",IF('채점'!P16='채점'!P$8,"정답","오답"))))))</x:f>
        <x:v>정답</x:v>
      </x:c>
      <x:c r="Q14" s="2" t="str">
        <x:f>IF('채점'!$C16="결시","결시",IF('채점'!Q$45&lt;&gt;"등록","정답 미등록",IF('채점'!Q16="","미응답",IF(NOT(ISNUMBER('채점'!Q16)),"잘못된 입력",IF(OR('채점'!Q16&lt;1,'채점'!Q16&gt;4,MOD('채점'!Q16,1)&lt;&gt;0),"잘못된 입력",IF('채점'!Q16='채점'!Q$8,"정답","오답"))))))</x:f>
        <x:v>오답</x:v>
      </x:c>
      <x:c r="R14" s="2" t="str">
        <x:f>IF('채점'!$C16="결시","결시",IF('채점'!R$45&lt;&gt;"등록","정답 미등록",IF('채점'!R16="","미응답",IF(NOT(ISNUMBER('채점'!R16)),"잘못된 입력",IF(OR('채점'!R16&lt;1,'채점'!R16&gt;4,MOD('채점'!R16,1)&lt;&gt;0),"잘못된 입력",IF('채점'!R16='채점'!R$8,"정답","오답"))))))</x:f>
        <x:v>정답</x:v>
      </x:c>
      <x:c r="S14" s="2" t="str">
        <x:f>IF('채점'!$C16="결시","결시",IF('채점'!S$45&lt;&gt;"등록","정답 미등록",IF('채점'!S16="","미응답",IF(NOT(ISNUMBER('채점'!S16)),"잘못된 입력",IF(OR('채점'!S16&lt;1,'채점'!S16&gt;4,MOD('채점'!S16,1)&lt;&gt;0),"잘못된 입력",IF('채점'!S16='채점'!S$8,"정답","오답"))))))</x:f>
        <x:v>정답</x:v>
      </x:c>
      <x:c r="T14" s="2" t="str">
        <x:f>IF('채점'!$C16="결시","결시",IF('채점'!T$45&lt;&gt;"등록","정답 미등록",IF('채점'!T16="","미응답",IF(NOT(ISNUMBER('채점'!T16)),"잘못된 입력",IF(OR('채점'!T16&lt;1,'채점'!T16&gt;4,MOD('채점'!T16,1)&lt;&gt;0),"잘못된 입력",IF('채점'!T16='채점'!T$8,"정답","오답"))))))</x:f>
        <x:v>오답</x:v>
      </x:c>
      <x:c r="U14" s="2" t="str">
        <x:f>IF('채점'!$C16="결시","결시",IF('채점'!U$45&lt;&gt;"등록","정답 미등록",IF('채점'!U16="","미응답",IF(NOT(ISNUMBER('채점'!U16)),"잘못된 입력",IF(OR('채점'!U16&lt;1,'채점'!U16&gt;4,MOD('채점'!U16,1)&lt;&gt;0),"잘못된 입력",IF('채점'!U16='채점'!U$8,"정답","오답"))))))</x:f>
        <x:v>정답</x:v>
      </x:c>
      <x:c r="V14" s="2" t="str">
        <x:f>IF('채점'!$C16="결시","결시",IF('채점'!V$45&lt;&gt;"등록","정답 미등록",IF('채점'!V16="","미응답",IF(NOT(ISNUMBER('채점'!V16)),"잘못된 입력",IF(OR('채점'!V16&lt;1,'채점'!V16&gt;4,MOD('채점'!V16,1)&lt;&gt;0),"잘못된 입력",IF('채점'!V16='채점'!V$8,"정답","오답"))))))</x:f>
        <x:v>정답</x:v>
      </x:c>
      <x:c r="W14" s="2" t="str">
        <x:f>IF('채점'!$C16="결시","결시",IF('채점'!W$45&lt;&gt;"등록","정답 미등록",IF('채점'!W16="","미응답",IF(NOT(ISNUMBER('채점'!W16)),"잘못된 입력",IF(OR('채점'!W16&lt;1,'채점'!W16&gt;4,MOD('채점'!W16,1)&lt;&gt;0),"잘못된 입력",IF('채점'!W16='채점'!W$8,"정답","오답"))))))</x:f>
        <x:v>오답</x:v>
      </x:c>
      <x:c r="X14" s="2" t="str">
        <x:f>IF('채점'!$C16="결시","결시",IF('채점'!X$45&lt;&gt;"등록","정답 미등록",IF('채점'!X16="","미응답",IF(NOT(ISNUMBER('채점'!X16)),"잘못된 입력",IF(OR('채점'!X16&lt;1,'채점'!X16&gt;4,MOD('채점'!X16,1)&lt;&gt;0),"잘못된 입력",IF('채점'!X16='채점'!X$8,"정답","오답"))))))</x:f>
        <x:v>정답</x:v>
      </x:c>
      <x:c r="Y14" s="2" t="str">
        <x:f>IF('채점'!$C16="결시","결시",IF('채점'!Y$45&lt;&gt;"등록","정답 미등록",IF('채점'!Y16="","미응답",IF(NOT(ISNUMBER('채점'!Y16)),"잘못된 입력",IF(OR('채점'!Y16&lt;1,'채점'!Y16&gt;4,MOD('채점'!Y16,1)&lt;&gt;0),"잘못된 입력",IF('채점'!Y16='채점'!Y$8,"정답","오답"))))))</x:f>
        <x:v>정답</x:v>
      </x:c>
      <x:c r="Z14" s="2" t="str">
        <x:f>IF('채점'!$C16="결시","결시",IF('채점'!Z$45&lt;&gt;"등록","정답 미등록",IF('채점'!Z16="","미응답",IF(NOT(ISNUMBER('채점'!Z16)),"잘못된 입력",IF(OR('채점'!Z16&lt;1,'채점'!Z16&gt;4,MOD('채점'!Z16,1)&lt;&gt;0),"잘못된 입력",IF('채점'!Z16='채점'!Z$8,"정답","오답"))))))</x:f>
        <x:v>정답</x:v>
      </x:c>
      <x:c r="AA14" s="2" t="str">
        <x:f>IF('채점'!$C16="결시","결시",IF('채점'!AA$45&lt;&gt;"등록","정답 미등록",IF('채점'!AA16="","미응답",IF(NOT(ISNUMBER('채점'!AA16)),"잘못된 입력",IF(OR('채점'!AA16&lt;1,'채점'!AA16&gt;4,MOD('채점'!AA16,1)&lt;&gt;0),"잘못된 입력",IF('채점'!AA16='채점'!AA$8,"정답","오답"))))))</x:f>
        <x:v>오답</x:v>
      </x:c>
      <x:c r="AB14" s="2" t="str">
        <x:f>IF('채점'!$C16="결시","결시",IF('채점'!AB$45&lt;&gt;"등록","정답 미등록",IF('채점'!AB16="","미응답",IF(NOT(ISNUMBER('채점'!AB16)),"잘못된 입력",IF(OR('채점'!AB16&lt;1,'채점'!AB16&gt;4,MOD('채점'!AB16,1)&lt;&gt;0),"잘못된 입력",IF('채점'!AB16='채점'!AB$8,"정답","오답"))))))</x:f>
        <x:v>정답</x:v>
      </x:c>
      <x:c r="AC14" s="2" t="str">
        <x:f>IF('채점'!$C16="결시","결시",IF('채점'!AC$45&lt;&gt;"등록","정답 미등록",IF('채점'!AC16="","미응답",IF(NOT(ISNUMBER('채점'!AC16)),"잘못된 입력",IF(OR('채점'!AC16&lt;1,'채점'!AC16&gt;4,MOD('채점'!AC16,1)&lt;&gt;0),"잘못된 입력",IF('채점'!AC16='채점'!AC$8,"정답","오답"))))))</x:f>
        <x:v>정답</x:v>
      </x:c>
      <x:c r="AD14" s="2" t="str">
        <x:f>IF('채점'!$C16="결시","결시",IF('채점'!AD$45&lt;&gt;"등록","정답 미등록",IF('채점'!AD16="","미응답",IF(NOT(ISNUMBER('채점'!AD16)),"잘못된 입력",IF(OR('채점'!AD16&lt;1,'채점'!AD16&gt;4,MOD('채점'!AD16,1)&lt;&gt;0),"잘못된 입력",IF('채점'!AD16='채점'!AD$8,"정답","오답"))))))</x:f>
        <x:v>오답</x:v>
      </x:c>
      <x:c r="AE14" s="2" t="str">
        <x:f>IF('채점'!$C16="결시","결시",IF('채점'!AE$45&lt;&gt;"등록","정답 미등록",IF('채점'!AE16="","미응답",IF(NOT(ISNUMBER('채점'!AE16)),"잘못된 입력",IF(OR('채점'!AE16&lt;1,'채점'!AE16&gt;4,MOD('채점'!AE16,1)&lt;&gt;0),"잘못된 입력",IF('채점'!AE16='채점'!AE$8,"정답","오답"))))))</x:f>
        <x:v>정답</x:v>
      </x:c>
      <x:c r="AF14" s="2" t="str">
        <x:f>IF('채점'!$C16="결시","결시",IF('채점'!AF$45&lt;&gt;"등록","정답 미등록",IF('채점'!AF16="","미응답",IF(NOT(ISNUMBER('채점'!AF16)),"잘못된 입력",IF(OR('채점'!AF16&lt;1,'채점'!AF16&gt;4,MOD('채점'!AF16,1)&lt;&gt;0),"잘못된 입력",IF('채점'!AF16='채점'!AF$8,"정답","오답"))))))</x:f>
        <x:v>정답</x:v>
      </x:c>
      <x:c r="AG14" s="2" t="str">
        <x:f>IF('채점'!$C16="결시","결시",IF('채점'!AG$45&lt;&gt;"등록","정답 미등록",IF('채점'!AG16="","미응답",IF(NOT(ISNUMBER('채점'!AG16)),"잘못된 입력",IF(OR('채점'!AG16&lt;1,'채점'!AG16&gt;4,MOD('채점'!AG16,1)&lt;&gt;0),"잘못된 입력",IF('채점'!AG16='채점'!AG$8,"정답","오답"))))))</x:f>
        <x:v>오답</x:v>
      </x:c>
      <x:c r="AH14" s="2" t="str">
        <x:f>IF('채점'!$C16="결시","결시",IF('채점'!AH$45&lt;&gt;"등록","정답 미등록",IF('채점'!AH16="","미응답",IF(NOT(ISNUMBER('채점'!AH16)),"잘못된 입력",IF(OR('채점'!AH16&lt;1,'채점'!AH16&gt;4,MOD('채점'!AH16,1)&lt;&gt;0),"잘못된 입력",IF('채점'!AH16='채점'!AH$8,"정답","오답"))))))</x:f>
        <x:v>정답</x:v>
      </x:c>
      <x:c r="AI14" s="2" t="str">
        <x:f>IF('채점'!$C16="결시","결시",IF('채점'!AI$45&lt;&gt;"등록","정답 미등록",IF('채점'!AI16="","미응답",IF(NOT(ISNUMBER('채점'!AI16)),"잘못된 입력",IF(OR('채점'!AI16&lt;1,'채점'!AI16&gt;4,MOD('채점'!AI16,1)&lt;&gt;0),"잘못된 입력",IF('채점'!AI16='채점'!AI$8,"정답","오답"))))))</x:f>
        <x:v>정답</x:v>
      </x:c>
      <x:c r="AJ14" s="2" t="str">
        <x:f>IF('채점'!$C16="결시","결시",IF('채점'!AJ$45&lt;&gt;"등록","정답 미등록",IF('채점'!AJ16="","미응답",IF(NOT(ISNUMBER('채점'!AJ16)),"잘못된 입력",IF(OR('채점'!AJ16&lt;1,'채점'!AJ16&gt;4,MOD('채점'!AJ16,1)&lt;&gt;0),"잘못된 입력",IF('채점'!AJ16='채점'!AJ$8,"정답","오답"))))))</x:f>
        <x:v>정답</x:v>
      </x:c>
      <x:c r="AK14" s="2" t="str">
        <x:f>IF('채점'!$C16="결시","결시",IF('채점'!AK$45&lt;&gt;"등록","정답 미등록",IF('채점'!AK16="","미응답",IF(NOT(ISNUMBER('채점'!AK16)),"잘못된 입력",IF(OR('채점'!AK16&lt;1,'채점'!AK16&gt;4,MOD('채점'!AK16,1)&lt;&gt;0),"잘못된 입력",IF('채점'!AK16='채점'!AK$8,"정답","오답"))))))</x:f>
        <x:v>오답</x:v>
      </x:c>
      <x:c r="AL14" s="2" t="str">
        <x:f>IF('채점'!$C16="결시","결시",IF('채점'!AL$45&lt;&gt;"등록","정답 미등록",IF('채점'!AL16="","미응답",IF(NOT(ISNUMBER('채점'!AL16)),"잘못된 입력",IF(OR('채점'!AL16&lt;1,'채점'!AL16&gt;4,MOD('채점'!AL16,1)&lt;&gt;0),"잘못된 입력",IF('채점'!AL16='채점'!AL$8,"정답","오답"))))))</x:f>
        <x:v>정답</x:v>
      </x:c>
      <x:c r="AM14" s="2" t="str">
        <x:f>IF('채점'!$C16="결시","결시",IF('채점'!AM$45&lt;&gt;"등록","정답 미등록",IF('채점'!AM16="","미응답",IF(NOT(ISNUMBER('채점'!AM16)),"잘못된 입력",IF(OR('채점'!AM16&lt;1,'채점'!AM16&gt;4,MOD('채점'!AM16,1)&lt;&gt;0),"잘못된 입력",IF('채점'!AM16='채점'!AM$8,"정답","오답"))))))</x:f>
        <x:v>정답</x:v>
      </x:c>
      <x:c r="AN14" s="2" t="str">
        <x:f>IF('채점'!$C16="결시","결시",IF('채점'!AN$45&lt;&gt;"등록","정답 미등록",IF('채점'!AN16="","미응답",IF(NOT(ISNUMBER('채점'!AN16)),"잘못된 입력",IF(OR('채점'!AN16&lt;1,'채점'!AN16&gt;4,MOD('채점'!AN16,1)&lt;&gt;0),"잘못된 입력",IF('채점'!AN16='채점'!AN$8,"정답","오답"))))))</x:f>
        <x:v>오답</x:v>
      </x:c>
      <x:c r="AO14" s="2" t="str">
        <x:f>IF('채점'!$C16="결시","결시",IF('채점'!AO$45&lt;&gt;"등록","정답 미등록",IF('채점'!AO16="","미응답",IF(NOT(ISNUMBER('채점'!AO16)),"잘못된 입력",IF(OR('채점'!AO16&lt;1,'채점'!AO16&gt;4,MOD('채점'!AO16,1)&lt;&gt;0),"잘못된 입력",IF('채점'!AO16='채점'!AO$8,"정답","오답"))))))</x:f>
        <x:v>정답</x:v>
      </x:c>
      <x:c r="AP14" s="2" t="str">
        <x:f>IF('채점'!$C16="결시","결시",IF('채점'!AP$45&lt;&gt;"등록","정답 미등록",IF('채점'!AP16="","미응답",IF(NOT(ISNUMBER('채점'!AP16)),"잘못된 입력",IF(OR('채점'!AP16&lt;1,'채점'!AP16&gt;4,MOD('채점'!AP16,1)&lt;&gt;0),"잘못된 입력",IF('채점'!AP16='채점'!AP$8,"정답","오답"))))))</x:f>
        <x:v>정답</x:v>
      </x:c>
      <x:c r="AQ14" s="2" t="str">
        <x:f>IF('채점'!$C16="결시","결시",IF('채점'!AQ$45&lt;&gt;"등록","정답 미등록",IF('채점'!AQ16="","미응답",IF(NOT(ISNUMBER('채점'!AQ16)),"잘못된 입력",IF(OR('채점'!AQ16&lt;1,'채점'!AQ16&gt;4,MOD('채점'!AQ16,1)&lt;&gt;0),"잘못된 입력",IF('채점'!AQ16='채점'!AQ$8,"정답","오답"))))))</x:f>
        <x:v>오답</x:v>
      </x:c>
    </x:row>
    <x:row r="15" ht="25" customHeight="1">
      <x:c r="A15" s="2" t="str">
        <x:f>'채점'!A17</x:f>
        <x:v>S008</x:v>
      </x:c>
      <x:c r="B15" s="2" t="str">
        <x:f>'채점'!C17</x:f>
        <x:v>응시</x:v>
      </x:c>
      <x:c r="C15" s="2"/>
      <x:c r="D15" s="2" t="str">
        <x:f>IF('채점'!$C17="결시","결시",IF('채점'!D$45&lt;&gt;"등록","정답 미등록",IF('채점'!D17="","미응답",IF(NOT(ISNUMBER('채점'!D17)),"잘못된 입력",IF(OR('채점'!D17&lt;1,'채점'!D17&gt;4,MOD('채점'!D17,1)&lt;&gt;0),"잘못된 입력",IF('채점'!D17='채점'!D$8,"정답","오답"))))))</x:f>
        <x:v>정답</x:v>
      </x:c>
      <x:c r="E15" s="2" t="str">
        <x:f>IF('채점'!$C17="결시","결시",IF('채점'!E$45&lt;&gt;"등록","정답 미등록",IF('채점'!E17="","미응답",IF(NOT(ISNUMBER('채점'!E17)),"잘못된 입력",IF(OR('채점'!E17&lt;1,'채점'!E17&gt;4,MOD('채점'!E17,1)&lt;&gt;0),"잘못된 입력",IF('채점'!E17='채점'!E$8,"정답","오답"))))))</x:f>
        <x:v>정답</x:v>
      </x:c>
      <x:c r="F15" s="2" t="str">
        <x:f>IF('채점'!$C17="결시","결시",IF('채점'!F$45&lt;&gt;"등록","정답 미등록",IF('채점'!F17="","미응답",IF(NOT(ISNUMBER('채점'!F17)),"잘못된 입력",IF(OR('채점'!F17&lt;1,'채점'!F17&gt;4,MOD('채점'!F17,1)&lt;&gt;0),"잘못된 입력",IF('채점'!F17='채점'!F$8,"정답","오답"))))))</x:f>
        <x:v>정답</x:v>
      </x:c>
      <x:c r="G15" s="2" t="str">
        <x:f>IF('채점'!$C17="결시","결시",IF('채점'!G$45&lt;&gt;"등록","정답 미등록",IF('채점'!G17="","미응답",IF(NOT(ISNUMBER('채점'!G17)),"잘못된 입력",IF(OR('채점'!G17&lt;1,'채점'!G17&gt;4,MOD('채점'!G17,1)&lt;&gt;0),"잘못된 입력",IF('채점'!G17='채점'!G$8,"정답","오답"))))))</x:f>
        <x:v>오답</x:v>
      </x:c>
      <x:c r="H15" s="2" t="str">
        <x:f>IF('채점'!$C17="결시","결시",IF('채점'!H$45&lt;&gt;"등록","정답 미등록",IF('채점'!H17="","미응답",IF(NOT(ISNUMBER('채점'!H17)),"잘못된 입력",IF(OR('채점'!H17&lt;1,'채점'!H17&gt;4,MOD('채점'!H17,1)&lt;&gt;0),"잘못된 입력",IF('채점'!H17='채점'!H$8,"정답","오답"))))))</x:f>
        <x:v>정답</x:v>
      </x:c>
      <x:c r="I15" s="2" t="str">
        <x:f>IF('채점'!$C17="결시","결시",IF('채점'!I$45&lt;&gt;"등록","정답 미등록",IF('채점'!I17="","미응답",IF(NOT(ISNUMBER('채점'!I17)),"잘못된 입력",IF(OR('채점'!I17&lt;1,'채점'!I17&gt;4,MOD('채점'!I17,1)&lt;&gt;0),"잘못된 입력",IF('채점'!I17='채점'!I$8,"정답","오답"))))))</x:f>
        <x:v>정답</x:v>
      </x:c>
      <x:c r="J15" s="2" t="str">
        <x:f>IF('채점'!$C17="결시","결시",IF('채점'!J$45&lt;&gt;"등록","정답 미등록",IF('채점'!J17="","미응답",IF(NOT(ISNUMBER('채점'!J17)),"잘못된 입력",IF(OR('채점'!J17&lt;1,'채점'!J17&gt;4,MOD('채점'!J17,1)&lt;&gt;0),"잘못된 입력",IF('채점'!J17='채점'!J$8,"정답","오답"))))))</x:f>
        <x:v>오답</x:v>
      </x:c>
      <x:c r="K15" s="2" t="str">
        <x:f>IF('채점'!$C17="결시","결시",IF('채점'!K$45&lt;&gt;"등록","정답 미등록",IF('채점'!K17="","미응답",IF(NOT(ISNUMBER('채점'!K17)),"잘못된 입력",IF(OR('채점'!K17&lt;1,'채점'!K17&gt;4,MOD('채점'!K17,1)&lt;&gt;0),"잘못된 입력",IF('채점'!K17='채점'!K$8,"정답","오답"))))))</x:f>
        <x:v>정답</x:v>
      </x:c>
      <x:c r="L15" s="2" t="str">
        <x:f>IF('채점'!$C17="결시","결시",IF('채점'!L$45&lt;&gt;"등록","정답 미등록",IF('채점'!L17="","미응답",IF(NOT(ISNUMBER('채점'!L17)),"잘못된 입력",IF(OR('채점'!L17&lt;1,'채점'!L17&gt;4,MOD('채점'!L17,1)&lt;&gt;0),"잘못된 입력",IF('채점'!L17='채점'!L$8,"정답","오답"))))))</x:f>
        <x:v>정답</x:v>
      </x:c>
      <x:c r="M15" s="2" t="str">
        <x:f>IF('채점'!$C17="결시","결시",IF('채점'!M$45&lt;&gt;"등록","정답 미등록",IF('채점'!M17="","미응답",IF(NOT(ISNUMBER('채점'!M17)),"잘못된 입력",IF(OR('채점'!M17&lt;1,'채점'!M17&gt;4,MOD('채점'!M17,1)&lt;&gt;0),"잘못된 입력",IF('채점'!M17='채점'!M$8,"정답","오답"))))))</x:f>
        <x:v>정답</x:v>
      </x:c>
      <x:c r="N15" s="2" t="str">
        <x:f>IF('채점'!$C17="결시","결시",IF('채점'!N$45&lt;&gt;"등록","정답 미등록",IF('채점'!N17="","미응답",IF(NOT(ISNUMBER('채점'!N17)),"잘못된 입력",IF(OR('채점'!N17&lt;1,'채점'!N17&gt;4,MOD('채점'!N17,1)&lt;&gt;0),"잘못된 입력",IF('채점'!N17='채점'!N$8,"정답","오답"))))))</x:f>
        <x:v>정답</x:v>
      </x:c>
      <x:c r="O15" s="2" t="str">
        <x:f>IF('채점'!$C17="결시","결시",IF('채점'!O$45&lt;&gt;"등록","정답 미등록",IF('채점'!O17="","미응답",IF(NOT(ISNUMBER('채점'!O17)),"잘못된 입력",IF(OR('채점'!O17&lt;1,'채점'!O17&gt;4,MOD('채점'!O17,1)&lt;&gt;0),"잘못된 입력",IF('채점'!O17='채점'!O$8,"정답","오답"))))))</x:f>
        <x:v>정답</x:v>
      </x:c>
      <x:c r="P15" s="2" t="str">
        <x:f>IF('채점'!$C17="결시","결시",IF('채점'!P$45&lt;&gt;"등록","정답 미등록",IF('채점'!P17="","미응답",IF(NOT(ISNUMBER('채점'!P17)),"잘못된 입력",IF(OR('채점'!P17&lt;1,'채점'!P17&gt;4,MOD('채점'!P17,1)&lt;&gt;0),"잘못된 입력",IF('채점'!P17='채점'!P$8,"정답","오답"))))))</x:f>
        <x:v>정답</x:v>
      </x:c>
      <x:c r="Q15" s="2" t="str">
        <x:f>IF('채점'!$C17="결시","결시",IF('채점'!Q$45&lt;&gt;"등록","정답 미등록",IF('채점'!Q17="","미응답",IF(NOT(ISNUMBER('채점'!Q17)),"잘못된 입력",IF(OR('채점'!Q17&lt;1,'채점'!Q17&gt;4,MOD('채점'!Q17,1)&lt;&gt;0),"잘못된 입력",IF('채점'!Q17='채점'!Q$8,"정답","오답"))))))</x:f>
        <x:v>오답</x:v>
      </x:c>
      <x:c r="R15" s="2" t="str">
        <x:f>IF('채점'!$C17="결시","결시",IF('채점'!R$45&lt;&gt;"등록","정답 미등록",IF('채점'!R17="","미응답",IF(NOT(ISNUMBER('채점'!R17)),"잘못된 입력",IF(OR('채점'!R17&lt;1,'채점'!R17&gt;4,MOD('채점'!R17,1)&lt;&gt;0),"잘못된 입력",IF('채점'!R17='채점'!R$8,"정답","오답"))))))</x:f>
        <x:v>정답</x:v>
      </x:c>
      <x:c r="S15" s="2" t="str">
        <x:f>IF('채점'!$C17="결시","결시",IF('채점'!S$45&lt;&gt;"등록","정답 미등록",IF('채점'!S17="","미응답",IF(NOT(ISNUMBER('채점'!S17)),"잘못된 입력",IF(OR('채점'!S17&lt;1,'채점'!S17&gt;4,MOD('채점'!S17,1)&lt;&gt;0),"잘못된 입력",IF('채점'!S17='채점'!S$8,"정답","오답"))))))</x:f>
        <x:v>정답</x:v>
      </x:c>
      <x:c r="T15" s="2" t="str">
        <x:f>IF('채점'!$C17="결시","결시",IF('채점'!T$45&lt;&gt;"등록","정답 미등록",IF('채점'!T17="","미응답",IF(NOT(ISNUMBER('채점'!T17)),"잘못된 입력",IF(OR('채점'!T17&lt;1,'채점'!T17&gt;4,MOD('채점'!T17,1)&lt;&gt;0),"잘못된 입력",IF('채점'!T17='채점'!T$8,"정답","오답"))))))</x:f>
        <x:v>오답</x:v>
      </x:c>
      <x:c r="U15" s="2" t="str">
        <x:f>IF('채점'!$C17="결시","결시",IF('채점'!U$45&lt;&gt;"등록","정답 미등록",IF('채점'!U17="","미응답",IF(NOT(ISNUMBER('채점'!U17)),"잘못된 입력",IF(OR('채점'!U17&lt;1,'채점'!U17&gt;4,MOD('채점'!U17,1)&lt;&gt;0),"잘못된 입력",IF('채점'!U17='채점'!U$8,"정답","오답"))))))</x:f>
        <x:v>정답</x:v>
      </x:c>
      <x:c r="V15" s="2" t="str">
        <x:f>IF('채점'!$C17="결시","결시",IF('채점'!V$45&lt;&gt;"등록","정답 미등록",IF('채점'!V17="","미응답",IF(NOT(ISNUMBER('채점'!V17)),"잘못된 입력",IF(OR('채점'!V17&lt;1,'채점'!V17&gt;4,MOD('채점'!V17,1)&lt;&gt;0),"잘못된 입력",IF('채점'!V17='채점'!V$8,"정답","오답"))))))</x:f>
        <x:v>정답</x:v>
      </x:c>
      <x:c r="W15" s="2" t="str">
        <x:f>IF('채점'!$C17="결시","결시",IF('채점'!W$45&lt;&gt;"등록","정답 미등록",IF('채점'!W17="","미응답",IF(NOT(ISNUMBER('채점'!W17)),"잘못된 입력",IF(OR('채점'!W17&lt;1,'채점'!W17&gt;4,MOD('채점'!W17,1)&lt;&gt;0),"잘못된 입력",IF('채점'!W17='채점'!W$8,"정답","오답"))))))</x:f>
        <x:v>정답</x:v>
      </x:c>
      <x:c r="X15" s="2" t="str">
        <x:f>IF('채점'!$C17="결시","결시",IF('채점'!X$45&lt;&gt;"등록","정답 미등록",IF('채점'!X17="","미응답",IF(NOT(ISNUMBER('채점'!X17)),"잘못된 입력",IF(OR('채점'!X17&lt;1,'채점'!X17&gt;4,MOD('채점'!X17,1)&lt;&gt;0),"잘못된 입력",IF('채점'!X17='채점'!X$8,"정답","오답"))))))</x:f>
        <x:v>정답</x:v>
      </x:c>
      <x:c r="Y15" s="2" t="str">
        <x:f>IF('채점'!$C17="결시","결시",IF('채점'!Y$45&lt;&gt;"등록","정답 미등록",IF('채점'!Y17="","미응답",IF(NOT(ISNUMBER('채점'!Y17)),"잘못된 입력",IF(OR('채점'!Y17&lt;1,'채점'!Y17&gt;4,MOD('채점'!Y17,1)&lt;&gt;0),"잘못된 입력",IF('채점'!Y17='채점'!Y$8,"정답","오답"))))))</x:f>
        <x:v>정답</x:v>
      </x:c>
      <x:c r="Z15" s="2" t="str">
        <x:f>IF('채점'!$C17="결시","결시",IF('채점'!Z$45&lt;&gt;"등록","정답 미등록",IF('채점'!Z17="","미응답",IF(NOT(ISNUMBER('채점'!Z17)),"잘못된 입력",IF(OR('채점'!Z17&lt;1,'채점'!Z17&gt;4,MOD('채점'!Z17,1)&lt;&gt;0),"잘못된 입력",IF('채점'!Z17='채점'!Z$8,"정답","오답"))))))</x:f>
        <x:v>정답</x:v>
      </x:c>
      <x:c r="AA15" s="2" t="str">
        <x:f>IF('채점'!$C17="결시","결시",IF('채점'!AA$45&lt;&gt;"등록","정답 미등록",IF('채점'!AA17="","미응답",IF(NOT(ISNUMBER('채점'!AA17)),"잘못된 입력",IF(OR('채점'!AA17&lt;1,'채점'!AA17&gt;4,MOD('채점'!AA17,1)&lt;&gt;0),"잘못된 입력",IF('채점'!AA17='채점'!AA$8,"정답","오답"))))))</x:f>
        <x:v>오답</x:v>
      </x:c>
      <x:c r="AB15" s="2" t="str">
        <x:f>IF('채점'!$C17="결시","결시",IF('채점'!AB$45&lt;&gt;"등록","정답 미등록",IF('채점'!AB17="","미응답",IF(NOT(ISNUMBER('채점'!AB17)),"잘못된 입력",IF(OR('채점'!AB17&lt;1,'채점'!AB17&gt;4,MOD('채점'!AB17,1)&lt;&gt;0),"잘못된 입력",IF('채점'!AB17='채점'!AB$8,"정답","오답"))))))</x:f>
        <x:v>정답</x:v>
      </x:c>
      <x:c r="AC15" s="2" t="str">
        <x:f>IF('채점'!$C17="결시","결시",IF('채점'!AC$45&lt;&gt;"등록","정답 미등록",IF('채점'!AC17="","미응답",IF(NOT(ISNUMBER('채점'!AC17)),"잘못된 입력",IF(OR('채점'!AC17&lt;1,'채점'!AC17&gt;4,MOD('채점'!AC17,1)&lt;&gt;0),"잘못된 입력",IF('채점'!AC17='채점'!AC$8,"정답","오답"))))))</x:f>
        <x:v>정답</x:v>
      </x:c>
      <x:c r="AD15" s="2" t="str">
        <x:f>IF('채점'!$C17="결시","결시",IF('채점'!AD$45&lt;&gt;"등록","정답 미등록",IF('채점'!AD17="","미응답",IF(NOT(ISNUMBER('채점'!AD17)),"잘못된 입력",IF(OR('채점'!AD17&lt;1,'채점'!AD17&gt;4,MOD('채점'!AD17,1)&lt;&gt;0),"잘못된 입력",IF('채점'!AD17='채점'!AD$8,"정답","오답"))))))</x:f>
        <x:v>오답</x:v>
      </x:c>
      <x:c r="AE15" s="2" t="str">
        <x:f>IF('채점'!$C17="결시","결시",IF('채점'!AE$45&lt;&gt;"등록","정답 미등록",IF('채점'!AE17="","미응답",IF(NOT(ISNUMBER('채점'!AE17)),"잘못된 입력",IF(OR('채점'!AE17&lt;1,'채점'!AE17&gt;4,MOD('채점'!AE17,1)&lt;&gt;0),"잘못된 입력",IF('채점'!AE17='채점'!AE$8,"정답","오답"))))))</x:f>
        <x:v>정답</x:v>
      </x:c>
      <x:c r="AF15" s="2" t="str">
        <x:f>IF('채점'!$C17="결시","결시",IF('채점'!AF$45&lt;&gt;"등록","정답 미등록",IF('채점'!AF17="","미응답",IF(NOT(ISNUMBER('채점'!AF17)),"잘못된 입력",IF(OR('채점'!AF17&lt;1,'채점'!AF17&gt;4,MOD('채점'!AF17,1)&lt;&gt;0),"잘못된 입력",IF('채점'!AF17='채점'!AF$8,"정답","오답"))))))</x:f>
        <x:v>정답</x:v>
      </x:c>
      <x:c r="AG15" s="2" t="str">
        <x:f>IF('채점'!$C17="결시","결시",IF('채점'!AG$45&lt;&gt;"등록","정답 미등록",IF('채점'!AG17="","미응답",IF(NOT(ISNUMBER('채점'!AG17)),"잘못된 입력",IF(OR('채점'!AG17&lt;1,'채점'!AG17&gt;4,MOD('채점'!AG17,1)&lt;&gt;0),"잘못된 입력",IF('채점'!AG17='채점'!AG$8,"정답","오답"))))))</x:f>
        <x:v>정답</x:v>
      </x:c>
      <x:c r="AH15" s="2" t="str">
        <x:f>IF('채점'!$C17="결시","결시",IF('채점'!AH$45&lt;&gt;"등록","정답 미등록",IF('채점'!AH17="","미응답",IF(NOT(ISNUMBER('채점'!AH17)),"잘못된 입력",IF(OR('채점'!AH17&lt;1,'채점'!AH17&gt;4,MOD('채점'!AH17,1)&lt;&gt;0),"잘못된 입력",IF('채점'!AH17='채점'!AH$8,"정답","오답"))))))</x:f>
        <x:v>정답</x:v>
      </x:c>
      <x:c r="AI15" s="2" t="str">
        <x:f>IF('채점'!$C17="결시","결시",IF('채점'!AI$45&lt;&gt;"등록","정답 미등록",IF('채점'!AI17="","미응답",IF(NOT(ISNUMBER('채점'!AI17)),"잘못된 입력",IF(OR('채점'!AI17&lt;1,'채점'!AI17&gt;4,MOD('채점'!AI17,1)&lt;&gt;0),"잘못된 입력",IF('채점'!AI17='채점'!AI$8,"정답","오답"))))))</x:f>
        <x:v>정답</x:v>
      </x:c>
      <x:c r="AJ15" s="2" t="str">
        <x:f>IF('채점'!$C17="결시","결시",IF('채점'!AJ$45&lt;&gt;"등록","정답 미등록",IF('채점'!AJ17="","미응답",IF(NOT(ISNUMBER('채점'!AJ17)),"잘못된 입력",IF(OR('채점'!AJ17&lt;1,'채점'!AJ17&gt;4,MOD('채점'!AJ17,1)&lt;&gt;0),"잘못된 입력",IF('채점'!AJ17='채점'!AJ$8,"정답","오답"))))))</x:f>
        <x:v>정답</x:v>
      </x:c>
      <x:c r="AK15" s="2" t="str">
        <x:f>IF('채점'!$C17="결시","결시",IF('채점'!AK$45&lt;&gt;"등록","정답 미등록",IF('채점'!AK17="","미응답",IF(NOT(ISNUMBER('채점'!AK17)),"잘못된 입력",IF(OR('채점'!AK17&lt;1,'채점'!AK17&gt;4,MOD('채점'!AK17,1)&lt;&gt;0),"잘못된 입력",IF('채점'!AK17='채점'!AK$8,"정답","오답"))))))</x:f>
        <x:v>오답</x:v>
      </x:c>
      <x:c r="AL15" s="2" t="str">
        <x:f>IF('채점'!$C17="결시","결시",IF('채점'!AL$45&lt;&gt;"등록","정답 미등록",IF('채점'!AL17="","미응답",IF(NOT(ISNUMBER('채점'!AL17)),"잘못된 입력",IF(OR('채점'!AL17&lt;1,'채점'!AL17&gt;4,MOD('채점'!AL17,1)&lt;&gt;0),"잘못된 입력",IF('채점'!AL17='채점'!AL$8,"정답","오답"))))))</x:f>
        <x:v>정답</x:v>
      </x:c>
      <x:c r="AM15" s="2" t="str">
        <x:f>IF('채점'!$C17="결시","결시",IF('채점'!AM$45&lt;&gt;"등록","정답 미등록",IF('채점'!AM17="","미응답",IF(NOT(ISNUMBER('채점'!AM17)),"잘못된 입력",IF(OR('채점'!AM17&lt;1,'채점'!AM17&gt;4,MOD('채점'!AM17,1)&lt;&gt;0),"잘못된 입력",IF('채점'!AM17='채점'!AM$8,"정답","오답"))))))</x:f>
        <x:v>정답</x:v>
      </x:c>
      <x:c r="AN15" s="2" t="str">
        <x:f>IF('채점'!$C17="결시","결시",IF('채점'!AN$45&lt;&gt;"등록","정답 미등록",IF('채점'!AN17="","미응답",IF(NOT(ISNUMBER('채점'!AN17)),"잘못된 입력",IF(OR('채점'!AN17&lt;1,'채점'!AN17&gt;4,MOD('채점'!AN17,1)&lt;&gt;0),"잘못된 입력",IF('채점'!AN17='채점'!AN$8,"정답","오답"))))))</x:f>
        <x:v>오답</x:v>
      </x:c>
      <x:c r="AO15" s="2" t="str">
        <x:f>IF('채점'!$C17="결시","결시",IF('채점'!AO$45&lt;&gt;"등록","정답 미등록",IF('채점'!AO17="","미응답",IF(NOT(ISNUMBER('채점'!AO17)),"잘못된 입력",IF(OR('채점'!AO17&lt;1,'채점'!AO17&gt;4,MOD('채점'!AO17,1)&lt;&gt;0),"잘못된 입력",IF('채점'!AO17='채점'!AO$8,"정답","오답"))))))</x:f>
        <x:v>정답</x:v>
      </x:c>
      <x:c r="AP15" s="2" t="str">
        <x:f>IF('채점'!$C17="결시","결시",IF('채점'!AP$45&lt;&gt;"등록","정답 미등록",IF('채점'!AP17="","미응답",IF(NOT(ISNUMBER('채점'!AP17)),"잘못된 입력",IF(OR('채점'!AP17&lt;1,'채점'!AP17&gt;4,MOD('채점'!AP17,1)&lt;&gt;0),"잘못된 입력",IF('채점'!AP17='채점'!AP$8,"정답","오답"))))))</x:f>
        <x:v>정답</x:v>
      </x:c>
      <x:c r="AQ15" s="2" t="str">
        <x:f>IF('채점'!$C17="결시","결시",IF('채점'!AQ$45&lt;&gt;"등록","정답 미등록",IF('채점'!AQ17="","미응답",IF(NOT(ISNUMBER('채점'!AQ17)),"잘못된 입력",IF(OR('채점'!AQ17&lt;1,'채점'!AQ17&gt;4,MOD('채점'!AQ17,1)&lt;&gt;0),"잘못된 입력",IF('채점'!AQ17='채점'!AQ$8,"정답","오답"))))))</x:f>
        <x:v>정답</x:v>
      </x:c>
    </x:row>
    <x:row r="16" ht="25" customHeight="1">
      <x:c r="A16" s="2" t="str">
        <x:f>'채점'!A18</x:f>
        <x:v>S009</x:v>
      </x:c>
      <x:c r="B16" s="2" t="str">
        <x:f>'채점'!C18</x:f>
        <x:v>응시</x:v>
      </x:c>
      <x:c r="C16" s="2"/>
      <x:c r="D16" s="2" t="str">
        <x:f>IF('채점'!$C18="결시","결시",IF('채점'!D$45&lt;&gt;"등록","정답 미등록",IF('채점'!D18="","미응답",IF(NOT(ISNUMBER('채점'!D18)),"잘못된 입력",IF(OR('채점'!D18&lt;1,'채점'!D18&gt;4,MOD('채점'!D18,1)&lt;&gt;0),"잘못된 입력",IF('채점'!D18='채점'!D$8,"정답","오답"))))))</x:f>
        <x:v>오답</x:v>
      </x:c>
      <x:c r="E16" s="2" t="str">
        <x:f>IF('채점'!$C18="결시","결시",IF('채점'!E$45&lt;&gt;"등록","정답 미등록",IF('채점'!E18="","미응답",IF(NOT(ISNUMBER('채점'!E18)),"잘못된 입력",IF(OR('채점'!E18&lt;1,'채점'!E18&gt;4,MOD('채점'!E18,1)&lt;&gt;0),"잘못된 입력",IF('채점'!E18='채점'!E$8,"정답","오답"))))))</x:f>
        <x:v>오답</x:v>
      </x:c>
      <x:c r="F16" s="2" t="str">
        <x:f>IF('채점'!$C18="결시","결시",IF('채점'!F$45&lt;&gt;"등록","정답 미등록",IF('채점'!F18="","미응답",IF(NOT(ISNUMBER('채점'!F18)),"잘못된 입력",IF(OR('채점'!F18&lt;1,'채점'!F18&gt;4,MOD('채점'!F18,1)&lt;&gt;0),"잘못된 입력",IF('채점'!F18='채점'!F$8,"정답","오답"))))))</x:f>
        <x:v>정답</x:v>
      </x:c>
      <x:c r="G16" s="2" t="str">
        <x:f>IF('채점'!$C18="결시","결시",IF('채점'!G$45&lt;&gt;"등록","정답 미등록",IF('채점'!G18="","미응답",IF(NOT(ISNUMBER('채점'!G18)),"잘못된 입력",IF(OR('채점'!G18&lt;1,'채점'!G18&gt;4,MOD('채점'!G18,1)&lt;&gt;0),"잘못된 입력",IF('채점'!G18='채점'!G$8,"정답","오답"))))))</x:f>
        <x:v>오답</x:v>
      </x:c>
      <x:c r="H16" s="2" t="str">
        <x:f>IF('채점'!$C18="결시","결시",IF('채점'!H$45&lt;&gt;"등록","정답 미등록",IF('채점'!H18="","미응답",IF(NOT(ISNUMBER('채점'!H18)),"잘못된 입력",IF(OR('채점'!H18&lt;1,'채점'!H18&gt;4,MOD('채점'!H18,1)&lt;&gt;0),"잘못된 입력",IF('채점'!H18='채점'!H$8,"정답","오답"))))))</x:f>
        <x:v>오답</x:v>
      </x:c>
      <x:c r="I16" s="2" t="str">
        <x:f>IF('채점'!$C18="결시","결시",IF('채점'!I$45&lt;&gt;"등록","정답 미등록",IF('채점'!I18="","미응답",IF(NOT(ISNUMBER('채점'!I18)),"잘못된 입력",IF(OR('채점'!I18&lt;1,'채점'!I18&gt;4,MOD('채점'!I18,1)&lt;&gt;0),"잘못된 입력",IF('채점'!I18='채점'!I$8,"정답","오답"))))))</x:f>
        <x:v>정답</x:v>
      </x:c>
      <x:c r="J16" s="2" t="str">
        <x:f>IF('채점'!$C18="결시","결시",IF('채점'!J$45&lt;&gt;"등록","정답 미등록",IF('채점'!J18="","미응답",IF(NOT(ISNUMBER('채점'!J18)),"잘못된 입력",IF(OR('채점'!J18&lt;1,'채점'!J18&gt;4,MOD('채점'!J18,1)&lt;&gt;0),"잘못된 입력",IF('채점'!J18='채점'!J$8,"정답","오답"))))))</x:f>
        <x:v>정답</x:v>
      </x:c>
      <x:c r="K16" s="2" t="str">
        <x:f>IF('채점'!$C18="결시","결시",IF('채점'!K$45&lt;&gt;"등록","정답 미등록",IF('채점'!K18="","미응답",IF(NOT(ISNUMBER('채점'!K18)),"잘못된 입력",IF(OR('채점'!K18&lt;1,'채점'!K18&gt;4,MOD('채점'!K18,1)&lt;&gt;0),"잘못된 입력",IF('채점'!K18='채점'!K$8,"정답","오답"))))))</x:f>
        <x:v>오답</x:v>
      </x:c>
      <x:c r="L16" s="2" t="str">
        <x:f>IF('채점'!$C18="결시","결시",IF('채점'!L$45&lt;&gt;"등록","정답 미등록",IF('채점'!L18="","미응답",IF(NOT(ISNUMBER('채점'!L18)),"잘못된 입력",IF(OR('채점'!L18&lt;1,'채점'!L18&gt;4,MOD('채점'!L18,1)&lt;&gt;0),"잘못된 입력",IF('채점'!L18='채점'!L$8,"정답","오답"))))))</x:f>
        <x:v>정답</x:v>
      </x:c>
      <x:c r="M16" s="2" t="str">
        <x:f>IF('채점'!$C18="결시","결시",IF('채점'!M$45&lt;&gt;"등록","정답 미등록",IF('채점'!M18="","미응답",IF(NOT(ISNUMBER('채점'!M18)),"잘못된 입력",IF(OR('채점'!M18&lt;1,'채점'!M18&gt;4,MOD('채점'!M18,1)&lt;&gt;0),"잘못된 입력",IF('채점'!M18='채점'!M$8,"정답","오답"))))))</x:f>
        <x:v>정답</x:v>
      </x:c>
      <x:c r="N16" s="2" t="str">
        <x:f>IF('채점'!$C18="결시","결시",IF('채점'!N$45&lt;&gt;"등록","정답 미등록",IF('채점'!N18="","미응답",IF(NOT(ISNUMBER('채점'!N18)),"잘못된 입력",IF(OR('채점'!N18&lt;1,'채점'!N18&gt;4,MOD('채점'!N18,1)&lt;&gt;0),"잘못된 입력",IF('채점'!N18='채점'!N$8,"정답","오답"))))))</x:f>
        <x:v>오답</x:v>
      </x:c>
      <x:c r="O16" s="2" t="str">
        <x:f>IF('채점'!$C18="결시","결시",IF('채점'!O$45&lt;&gt;"등록","정답 미등록",IF('채점'!O18="","미응답",IF(NOT(ISNUMBER('채점'!O18)),"잘못된 입력",IF(OR('채점'!O18&lt;1,'채점'!O18&gt;4,MOD('채점'!O18,1)&lt;&gt;0),"잘못된 입력",IF('채점'!O18='채점'!O$8,"정답","오답"))))))</x:f>
        <x:v>오답</x:v>
      </x:c>
      <x:c r="P16" s="2" t="str">
        <x:f>IF('채점'!$C18="결시","결시",IF('채점'!P$45&lt;&gt;"등록","정답 미등록",IF('채점'!P18="","미응답",IF(NOT(ISNUMBER('채점'!P18)),"잘못된 입력",IF(OR('채점'!P18&lt;1,'채점'!P18&gt;4,MOD('채점'!P18,1)&lt;&gt;0),"잘못된 입력",IF('채점'!P18='채점'!P$8,"정답","오답"))))))</x:f>
        <x:v>정답</x:v>
      </x:c>
      <x:c r="Q16" s="2" t="str">
        <x:f>IF('채점'!$C18="결시","결시",IF('채점'!Q$45&lt;&gt;"등록","정답 미등록",IF('채점'!Q18="","미응답",IF(NOT(ISNUMBER('채점'!Q18)),"잘못된 입력",IF(OR('채점'!Q18&lt;1,'채점'!Q18&gt;4,MOD('채점'!Q18,1)&lt;&gt;0),"잘못된 입력",IF('채점'!Q18='채점'!Q$8,"정답","오답"))))))</x:f>
        <x:v>오답</x:v>
      </x:c>
      <x:c r="R16" s="2" t="str">
        <x:f>IF('채점'!$C18="결시","결시",IF('채점'!R$45&lt;&gt;"등록","정답 미등록",IF('채점'!R18="","미응답",IF(NOT(ISNUMBER('채점'!R18)),"잘못된 입력",IF(OR('채점'!R18&lt;1,'채점'!R18&gt;4,MOD('채점'!R18,1)&lt;&gt;0),"잘못된 입력",IF('채점'!R18='채점'!R$8,"정답","오답"))))))</x:f>
        <x:v>오답</x:v>
      </x:c>
      <x:c r="S16" s="2" t="str">
        <x:f>IF('채점'!$C18="결시","결시",IF('채점'!S$45&lt;&gt;"등록","정답 미등록",IF('채점'!S18="","미응답",IF(NOT(ISNUMBER('채점'!S18)),"잘못된 입력",IF(OR('채점'!S18&lt;1,'채점'!S18&gt;4,MOD('채점'!S18,1)&lt;&gt;0),"잘못된 입력",IF('채점'!S18='채점'!S$8,"정답","오답"))))))</x:f>
        <x:v>정답</x:v>
      </x:c>
      <x:c r="T16" s="2" t="str">
        <x:f>IF('채점'!$C18="결시","결시",IF('채점'!T$45&lt;&gt;"등록","정답 미등록",IF('채점'!T18="","미응답",IF(NOT(ISNUMBER('채점'!T18)),"잘못된 입력",IF(OR('채점'!T18&lt;1,'채점'!T18&gt;4,MOD('채점'!T18,1)&lt;&gt;0),"잘못된 입력",IF('채점'!T18='채점'!T$8,"정답","오답"))))))</x:f>
        <x:v>정답</x:v>
      </x:c>
      <x:c r="U16" s="2" t="str">
        <x:f>IF('채점'!$C18="결시","결시",IF('채점'!U$45&lt;&gt;"등록","정답 미등록",IF('채점'!U18="","미응답",IF(NOT(ISNUMBER('채점'!U18)),"잘못된 입력",IF(OR('채점'!U18&lt;1,'채점'!U18&gt;4,MOD('채점'!U18,1)&lt;&gt;0),"잘못된 입력",IF('채점'!U18='채점'!U$8,"정답","오답"))))))</x:f>
        <x:v>오답</x:v>
      </x:c>
      <x:c r="V16" s="2" t="str">
        <x:f>IF('채점'!$C18="결시","결시",IF('채점'!V$45&lt;&gt;"등록","정답 미등록",IF('채점'!V18="","미응답",IF(NOT(ISNUMBER('채점'!V18)),"잘못된 입력",IF(OR('채점'!V18&lt;1,'채점'!V18&gt;4,MOD('채점'!V18,1)&lt;&gt;0),"잘못된 입력",IF('채점'!V18='채점'!V$8,"정답","오답"))))))</x:f>
        <x:v>정답</x:v>
      </x:c>
      <x:c r="W16" s="2" t="str">
        <x:f>IF('채점'!$C18="결시","결시",IF('채점'!W$45&lt;&gt;"등록","정답 미등록",IF('채점'!W18="","미응답",IF(NOT(ISNUMBER('채점'!W18)),"잘못된 입력",IF(OR('채점'!W18&lt;1,'채점'!W18&gt;4,MOD('채점'!W18,1)&lt;&gt;0),"잘못된 입력",IF('채점'!W18='채점'!W$8,"정답","오답"))))))</x:f>
        <x:v>정답</x:v>
      </x:c>
      <x:c r="X16" s="2" t="str">
        <x:f>IF('채점'!$C18="결시","결시",IF('채점'!X$45&lt;&gt;"등록","정답 미등록",IF('채점'!X18="","미응답",IF(NOT(ISNUMBER('채점'!X18)),"잘못된 입력",IF(OR('채점'!X18&lt;1,'채점'!X18&gt;4,MOD('채점'!X18,1)&lt;&gt;0),"잘못된 입력",IF('채점'!X18='채점'!X$8,"정답","오답"))))))</x:f>
        <x:v>오답</x:v>
      </x:c>
      <x:c r="Y16" s="2" t="str">
        <x:f>IF('채점'!$C18="결시","결시",IF('채점'!Y$45&lt;&gt;"등록","정답 미등록",IF('채점'!Y18="","미응답",IF(NOT(ISNUMBER('채점'!Y18)),"잘못된 입력",IF(OR('채점'!Y18&lt;1,'채점'!Y18&gt;4,MOD('채점'!Y18,1)&lt;&gt;0),"잘못된 입력",IF('채점'!Y18='채점'!Y$8,"정답","오답"))))))</x:f>
        <x:v>오답</x:v>
      </x:c>
      <x:c r="Z16" s="2" t="str">
        <x:f>IF('채점'!$C18="결시","결시",IF('채점'!Z$45&lt;&gt;"등록","정답 미등록",IF('채점'!Z18="","미응답",IF(NOT(ISNUMBER('채점'!Z18)),"잘못된 입력",IF(OR('채점'!Z18&lt;1,'채점'!Z18&gt;4,MOD('채점'!Z18,1)&lt;&gt;0),"잘못된 입력",IF('채점'!Z18='채점'!Z$8,"정답","오답"))))))</x:f>
        <x:v>정답</x:v>
      </x:c>
      <x:c r="AA16" s="2" t="str">
        <x:f>IF('채점'!$C18="결시","결시",IF('채점'!AA$45&lt;&gt;"등록","정답 미등록",IF('채점'!AA18="","미응답",IF(NOT(ISNUMBER('채점'!AA18)),"잘못된 입력",IF(OR('채점'!AA18&lt;1,'채점'!AA18&gt;4,MOD('채점'!AA18,1)&lt;&gt;0),"잘못된 입력",IF('채점'!AA18='채점'!AA$8,"정답","오답"))))))</x:f>
        <x:v>오답</x:v>
      </x:c>
      <x:c r="AB16" s="2" t="str">
        <x:f>IF('채점'!$C18="결시","결시",IF('채점'!AB$45&lt;&gt;"등록","정답 미등록",IF('채점'!AB18="","미응답",IF(NOT(ISNUMBER('채점'!AB18)),"잘못된 입력",IF(OR('채점'!AB18&lt;1,'채점'!AB18&gt;4,MOD('채점'!AB18,1)&lt;&gt;0),"잘못된 입력",IF('채점'!AB18='채점'!AB$8,"정답","오답"))))))</x:f>
        <x:v>오답</x:v>
      </x:c>
      <x:c r="AC16" s="2" t="str">
        <x:f>IF('채점'!$C18="결시","결시",IF('채점'!AC$45&lt;&gt;"등록","정답 미등록",IF('채점'!AC18="","미응답",IF(NOT(ISNUMBER('채점'!AC18)),"잘못된 입력",IF(OR('채점'!AC18&lt;1,'채점'!AC18&gt;4,MOD('채점'!AC18,1)&lt;&gt;0),"잘못된 입력",IF('채점'!AC18='채점'!AC$8,"정답","오답"))))))</x:f>
        <x:v>정답</x:v>
      </x:c>
      <x:c r="AD16" s="2" t="str">
        <x:f>IF('채점'!$C18="결시","결시",IF('채점'!AD$45&lt;&gt;"등록","정답 미등록",IF('채점'!AD18="","미응답",IF(NOT(ISNUMBER('채점'!AD18)),"잘못된 입력",IF(OR('채점'!AD18&lt;1,'채점'!AD18&gt;4,MOD('채점'!AD18,1)&lt;&gt;0),"잘못된 입력",IF('채점'!AD18='채점'!AD$8,"정답","오답"))))))</x:f>
        <x:v>정답</x:v>
      </x:c>
      <x:c r="AE16" s="2" t="str">
        <x:f>IF('채점'!$C18="결시","결시",IF('채점'!AE$45&lt;&gt;"등록","정답 미등록",IF('채점'!AE18="","미응답",IF(NOT(ISNUMBER('채점'!AE18)),"잘못된 입력",IF(OR('채점'!AE18&lt;1,'채점'!AE18&gt;4,MOD('채점'!AE18,1)&lt;&gt;0),"잘못된 입력",IF('채점'!AE18='채점'!AE$8,"정답","오답"))))))</x:f>
        <x:v>오답</x:v>
      </x:c>
      <x:c r="AF16" s="2" t="str">
        <x:f>IF('채점'!$C18="결시","결시",IF('채점'!AF$45&lt;&gt;"등록","정답 미등록",IF('채점'!AF18="","미응답",IF(NOT(ISNUMBER('채점'!AF18)),"잘못된 입력",IF(OR('채점'!AF18&lt;1,'채점'!AF18&gt;4,MOD('채점'!AF18,1)&lt;&gt;0),"잘못된 입력",IF('채점'!AF18='채점'!AF$8,"정답","오답"))))))</x:f>
        <x:v>정답</x:v>
      </x:c>
      <x:c r="AG16" s="2" t="str">
        <x:f>IF('채점'!$C18="결시","결시",IF('채점'!AG$45&lt;&gt;"등록","정답 미등록",IF('채점'!AG18="","미응답",IF(NOT(ISNUMBER('채점'!AG18)),"잘못된 입력",IF(OR('채점'!AG18&lt;1,'채점'!AG18&gt;4,MOD('채점'!AG18,1)&lt;&gt;0),"잘못된 입력",IF('채점'!AG18='채점'!AG$8,"정답","오답"))))))</x:f>
        <x:v>정답</x:v>
      </x:c>
      <x:c r="AH16" s="2" t="str">
        <x:f>IF('채점'!$C18="결시","결시",IF('채점'!AH$45&lt;&gt;"등록","정답 미등록",IF('채점'!AH18="","미응답",IF(NOT(ISNUMBER('채점'!AH18)),"잘못된 입력",IF(OR('채점'!AH18&lt;1,'채점'!AH18&gt;4,MOD('채점'!AH18,1)&lt;&gt;0),"잘못된 입력",IF('채점'!AH18='채점'!AH$8,"정답","오답"))))))</x:f>
        <x:v>오답</x:v>
      </x:c>
      <x:c r="AI16" s="2" t="str">
        <x:f>IF('채점'!$C18="결시","결시",IF('채점'!AI$45&lt;&gt;"등록","정답 미등록",IF('채점'!AI18="","미응답",IF(NOT(ISNUMBER('채점'!AI18)),"잘못된 입력",IF(OR('채점'!AI18&lt;1,'채점'!AI18&gt;4,MOD('채점'!AI18,1)&lt;&gt;0),"잘못된 입력",IF('채점'!AI18='채점'!AI$8,"정답","오답"))))))</x:f>
        <x:v>오답</x:v>
      </x:c>
      <x:c r="AJ16" s="2" t="str">
        <x:f>IF('채점'!$C18="결시","결시",IF('채점'!AJ$45&lt;&gt;"등록","정답 미등록",IF('채점'!AJ18="","미응답",IF(NOT(ISNUMBER('채점'!AJ18)),"잘못된 입력",IF(OR('채점'!AJ18&lt;1,'채점'!AJ18&gt;4,MOD('채점'!AJ18,1)&lt;&gt;0),"잘못된 입력",IF('채점'!AJ18='채점'!AJ$8,"정답","오답"))))))</x:f>
        <x:v>정답</x:v>
      </x:c>
      <x:c r="AK16" s="2" t="str">
        <x:f>IF('채점'!$C18="결시","결시",IF('채점'!AK$45&lt;&gt;"등록","정답 미등록",IF('채점'!AK18="","미응답",IF(NOT(ISNUMBER('채점'!AK18)),"잘못된 입력",IF(OR('채점'!AK18&lt;1,'채점'!AK18&gt;4,MOD('채점'!AK18,1)&lt;&gt;0),"잘못된 입력",IF('채점'!AK18='채점'!AK$8,"정답","오답"))))))</x:f>
        <x:v>오답</x:v>
      </x:c>
      <x:c r="AL16" s="2" t="str">
        <x:f>IF('채점'!$C18="결시","결시",IF('채점'!AL$45&lt;&gt;"등록","정답 미등록",IF('채점'!AL18="","미응답",IF(NOT(ISNUMBER('채점'!AL18)),"잘못된 입력",IF(OR('채점'!AL18&lt;1,'채점'!AL18&gt;4,MOD('채점'!AL18,1)&lt;&gt;0),"잘못된 입력",IF('채점'!AL18='채점'!AL$8,"정답","오답"))))))</x:f>
        <x:v>오답</x:v>
      </x:c>
      <x:c r="AM16" s="2" t="str">
        <x:f>IF('채점'!$C18="결시","결시",IF('채점'!AM$45&lt;&gt;"등록","정답 미등록",IF('채점'!AM18="","미응답",IF(NOT(ISNUMBER('채점'!AM18)),"잘못된 입력",IF(OR('채점'!AM18&lt;1,'채점'!AM18&gt;4,MOD('채점'!AM18,1)&lt;&gt;0),"잘못된 입력",IF('채점'!AM18='채점'!AM$8,"정답","오답"))))))</x:f>
        <x:v>정답</x:v>
      </x:c>
      <x:c r="AN16" s="2" t="str">
        <x:f>IF('채점'!$C18="결시","결시",IF('채점'!AN$45&lt;&gt;"등록","정답 미등록",IF('채점'!AN18="","미응답",IF(NOT(ISNUMBER('채점'!AN18)),"잘못된 입력",IF(OR('채점'!AN18&lt;1,'채점'!AN18&gt;4,MOD('채점'!AN18,1)&lt;&gt;0),"잘못된 입력",IF('채점'!AN18='채점'!AN$8,"정답","오답"))))))</x:f>
        <x:v>정답</x:v>
      </x:c>
      <x:c r="AO16" s="2" t="str">
        <x:f>IF('채점'!$C18="결시","결시",IF('채점'!AO$45&lt;&gt;"등록","정답 미등록",IF('채점'!AO18="","미응답",IF(NOT(ISNUMBER('채점'!AO18)),"잘못된 입력",IF(OR('채점'!AO18&lt;1,'채점'!AO18&gt;4,MOD('채점'!AO18,1)&lt;&gt;0),"잘못된 입력",IF('채점'!AO18='채점'!AO$8,"정답","오답"))))))</x:f>
        <x:v>오답</x:v>
      </x:c>
      <x:c r="AP16" s="2" t="str">
        <x:f>IF('채점'!$C18="결시","결시",IF('채점'!AP$45&lt;&gt;"등록","정답 미등록",IF('채점'!AP18="","미응답",IF(NOT(ISNUMBER('채점'!AP18)),"잘못된 입력",IF(OR('채점'!AP18&lt;1,'채점'!AP18&gt;4,MOD('채점'!AP18,1)&lt;&gt;0),"잘못된 입력",IF('채점'!AP18='채점'!AP$8,"정답","오답"))))))</x:f>
        <x:v>정답</x:v>
      </x:c>
      <x:c r="AQ16" s="2" t="str">
        <x:f>IF('채점'!$C18="결시","결시",IF('채점'!AQ$45&lt;&gt;"등록","정답 미등록",IF('채점'!AQ18="","미응답",IF(NOT(ISNUMBER('채점'!AQ18)),"잘못된 입력",IF(OR('채점'!AQ18&lt;1,'채점'!AQ18&gt;4,MOD('채점'!AQ18,1)&lt;&gt;0),"잘못된 입력",IF('채점'!AQ18='채점'!AQ$8,"정답","오답"))))))</x:f>
        <x:v>정답</x:v>
      </x:c>
    </x:row>
    <x:row r="17" ht="25" customHeight="1">
      <x:c r="A17" s="2" t="str">
        <x:f>'채점'!A19</x:f>
        <x:v>S010</x:v>
      </x:c>
      <x:c r="B17" s="2" t="str">
        <x:f>'채점'!C19</x:f>
        <x:v>응시</x:v>
      </x:c>
      <x:c r="C17" s="2"/>
      <x:c r="D17" s="2" t="str">
        <x:f>IF('채점'!$C19="결시","결시",IF('채점'!D$45&lt;&gt;"등록","정답 미등록",IF('채점'!D19="","미응답",IF(NOT(ISNUMBER('채점'!D19)),"잘못된 입력",IF(OR('채점'!D19&lt;1,'채점'!D19&gt;4,MOD('채점'!D19,1)&lt;&gt;0),"잘못된 입력",IF('채점'!D19='채점'!D$8,"정답","오답"))))))</x:f>
        <x:v>오답</x:v>
      </x:c>
      <x:c r="E17" s="2" t="str">
        <x:f>IF('채점'!$C19="결시","결시",IF('채점'!E$45&lt;&gt;"등록","정답 미등록",IF('채점'!E19="","미응답",IF(NOT(ISNUMBER('채점'!E19)),"잘못된 입력",IF(OR('채점'!E19&lt;1,'채점'!E19&gt;4,MOD('채점'!E19,1)&lt;&gt;0),"잘못된 입력",IF('채점'!E19='채점'!E$8,"정답","오답"))))))</x:f>
        <x:v>오답</x:v>
      </x:c>
      <x:c r="F17" s="2" t="str">
        <x:f>IF('채점'!$C19="결시","결시",IF('채점'!F$45&lt;&gt;"등록","정답 미등록",IF('채점'!F19="","미응답",IF(NOT(ISNUMBER('채점'!F19)),"잘못된 입력",IF(OR('채점'!F19&lt;1,'채점'!F19&gt;4,MOD('채점'!F19,1)&lt;&gt;0),"잘못된 입력",IF('채점'!F19='채점'!F$8,"정답","오답"))))))</x:f>
        <x:v>정답</x:v>
      </x:c>
      <x:c r="G17" s="2" t="str">
        <x:f>IF('채점'!$C19="결시","결시",IF('채점'!G$45&lt;&gt;"등록","정답 미등록",IF('채점'!G19="","미응답",IF(NOT(ISNUMBER('채점'!G19)),"잘못된 입력",IF(OR('채점'!G19&lt;1,'채점'!G19&gt;4,MOD('채점'!G19,1)&lt;&gt;0),"잘못된 입력",IF('채점'!G19='채점'!G$8,"정답","오답"))))))</x:f>
        <x:v>정답</x:v>
      </x:c>
      <x:c r="H17" s="2" t="str">
        <x:f>IF('채점'!$C19="결시","결시",IF('채점'!H$45&lt;&gt;"등록","정답 미등록",IF('채점'!H19="","미응답",IF(NOT(ISNUMBER('채점'!H19)),"잘못된 입력",IF(OR('채점'!H19&lt;1,'채점'!H19&gt;4,MOD('채점'!H19,1)&lt;&gt;0),"잘못된 입력",IF('채점'!H19='채점'!H$8,"정답","오답"))))))</x:f>
        <x:v>오답</x:v>
      </x:c>
      <x:c r="I17" s="2" t="str">
        <x:f>IF('채점'!$C19="결시","결시",IF('채점'!I$45&lt;&gt;"등록","정답 미등록",IF('채점'!I19="","미응답",IF(NOT(ISNUMBER('채점'!I19)),"잘못된 입력",IF(OR('채점'!I19&lt;1,'채점'!I19&gt;4,MOD('채점'!I19,1)&lt;&gt;0),"잘못된 입력",IF('채점'!I19='채점'!I$8,"정답","오답"))))))</x:f>
        <x:v>정답</x:v>
      </x:c>
      <x:c r="J17" s="2" t="str">
        <x:f>IF('채점'!$C19="결시","결시",IF('채점'!J$45&lt;&gt;"등록","정답 미등록",IF('채점'!J19="","미응답",IF(NOT(ISNUMBER('채점'!J19)),"잘못된 입력",IF(OR('채점'!J19&lt;1,'채점'!J19&gt;4,MOD('채점'!J19,1)&lt;&gt;0),"잘못된 입력",IF('채점'!J19='채점'!J$8,"정답","오답"))))))</x:f>
        <x:v>정답</x:v>
      </x:c>
      <x:c r="K17" s="2" t="str">
        <x:f>IF('채점'!$C19="결시","결시",IF('채점'!K$45&lt;&gt;"등록","정답 미등록",IF('채점'!K19="","미응답",IF(NOT(ISNUMBER('채점'!K19)),"잘못된 입력",IF(OR('채점'!K19&lt;1,'채점'!K19&gt;4,MOD('채점'!K19,1)&lt;&gt;0),"잘못된 입력",IF('채점'!K19='채점'!K$8,"정답","오답"))))))</x:f>
        <x:v>오답</x:v>
      </x:c>
      <x:c r="L17" s="2" t="str">
        <x:f>IF('채점'!$C19="결시","결시",IF('채점'!L$45&lt;&gt;"등록","정답 미등록",IF('채점'!L19="","미응답",IF(NOT(ISNUMBER('채점'!L19)),"잘못된 입력",IF(OR('채점'!L19&lt;1,'채점'!L19&gt;4,MOD('채점'!L19,1)&lt;&gt;0),"잘못된 입력",IF('채점'!L19='채점'!L$8,"정답","오답"))))))</x:f>
        <x:v>정답</x:v>
      </x:c>
      <x:c r="M17" s="2" t="str">
        <x:f>IF('채점'!$C19="결시","결시",IF('채점'!M$45&lt;&gt;"등록","정답 미등록",IF('채점'!M19="","미응답",IF(NOT(ISNUMBER('채점'!M19)),"잘못된 입력",IF(OR('채점'!M19&lt;1,'채점'!M19&gt;4,MOD('채점'!M19,1)&lt;&gt;0),"잘못된 입력",IF('채점'!M19='채점'!M$8,"정답","오답"))))))</x:f>
        <x:v>정답</x:v>
      </x:c>
      <x:c r="N17" s="2" t="str">
        <x:f>IF('채점'!$C19="결시","결시",IF('채점'!N$45&lt;&gt;"등록","정답 미등록",IF('채점'!N19="","미응답",IF(NOT(ISNUMBER('채점'!N19)),"잘못된 입력",IF(OR('채점'!N19&lt;1,'채점'!N19&gt;4,MOD('채점'!N19,1)&lt;&gt;0),"잘못된 입력",IF('채점'!N19='채점'!N$8,"정답","오답"))))))</x:f>
        <x:v>오답</x:v>
      </x:c>
      <x:c r="O17" s="2" t="str">
        <x:f>IF('채점'!$C19="결시","결시",IF('채점'!O$45&lt;&gt;"등록","정답 미등록",IF('채점'!O19="","미응답",IF(NOT(ISNUMBER('채점'!O19)),"잘못된 입력",IF(OR('채점'!O19&lt;1,'채점'!O19&gt;4,MOD('채점'!O19,1)&lt;&gt;0),"잘못된 입력",IF('채점'!O19='채점'!O$8,"정답","오답"))))))</x:f>
        <x:v>오답</x:v>
      </x:c>
      <x:c r="P17" s="2" t="str">
        <x:f>IF('채점'!$C19="결시","결시",IF('채점'!P$45&lt;&gt;"등록","정답 미등록",IF('채점'!P19="","미응답",IF(NOT(ISNUMBER('채점'!P19)),"잘못된 입력",IF(OR('채점'!P19&lt;1,'채점'!P19&gt;4,MOD('채점'!P19,1)&lt;&gt;0),"잘못된 입력",IF('채점'!P19='채점'!P$8,"정답","오답"))))))</x:f>
        <x:v>정답</x:v>
      </x:c>
      <x:c r="Q17" s="2" t="str">
        <x:f>IF('채점'!$C19="결시","결시",IF('채점'!Q$45&lt;&gt;"등록","정답 미등록",IF('채점'!Q19="","미응답",IF(NOT(ISNUMBER('채점'!Q19)),"잘못된 입력",IF(OR('채점'!Q19&lt;1,'채점'!Q19&gt;4,MOD('채점'!Q19,1)&lt;&gt;0),"잘못된 입력",IF('채점'!Q19='채점'!Q$8,"정답","오답"))))))</x:f>
        <x:v>정답</x:v>
      </x:c>
      <x:c r="R17" s="2" t="str">
        <x:f>IF('채점'!$C19="결시","결시",IF('채점'!R$45&lt;&gt;"등록","정답 미등록",IF('채점'!R19="","미응답",IF(NOT(ISNUMBER('채점'!R19)),"잘못된 입력",IF(OR('채점'!R19&lt;1,'채점'!R19&gt;4,MOD('채점'!R19,1)&lt;&gt;0),"잘못된 입력",IF('채점'!R19='채점'!R$8,"정답","오답"))))))</x:f>
        <x:v>오답</x:v>
      </x:c>
      <x:c r="S17" s="2" t="str">
        <x:f>IF('채점'!$C19="결시","결시",IF('채점'!S$45&lt;&gt;"등록","정답 미등록",IF('채점'!S19="","미응답",IF(NOT(ISNUMBER('채점'!S19)),"잘못된 입력",IF(OR('채점'!S19&lt;1,'채점'!S19&gt;4,MOD('채점'!S19,1)&lt;&gt;0),"잘못된 입력",IF('채점'!S19='채점'!S$8,"정답","오답"))))))</x:f>
        <x:v>정답</x:v>
      </x:c>
      <x:c r="T17" s="2" t="str">
        <x:f>IF('채점'!$C19="결시","결시",IF('채점'!T$45&lt;&gt;"등록","정답 미등록",IF('채점'!T19="","미응답",IF(NOT(ISNUMBER('채점'!T19)),"잘못된 입력",IF(OR('채점'!T19&lt;1,'채점'!T19&gt;4,MOD('채점'!T19,1)&lt;&gt;0),"잘못된 입력",IF('채점'!T19='채점'!T$8,"정답","오답"))))))</x:f>
        <x:v>정답</x:v>
      </x:c>
      <x:c r="U17" s="2" t="str">
        <x:f>IF('채점'!$C19="결시","결시",IF('채점'!U$45&lt;&gt;"등록","정답 미등록",IF('채점'!U19="","미응답",IF(NOT(ISNUMBER('채점'!U19)),"잘못된 입력",IF(OR('채점'!U19&lt;1,'채점'!U19&gt;4,MOD('채점'!U19,1)&lt;&gt;0),"잘못된 입력",IF('채점'!U19='채점'!U$8,"정답","오답"))))))</x:f>
        <x:v>오답</x:v>
      </x:c>
      <x:c r="V17" s="2" t="str">
        <x:f>IF('채점'!$C19="결시","결시",IF('채점'!V$45&lt;&gt;"등록","정답 미등록",IF('채점'!V19="","미응답",IF(NOT(ISNUMBER('채점'!V19)),"잘못된 입력",IF(OR('채점'!V19&lt;1,'채점'!V19&gt;4,MOD('채점'!V19,1)&lt;&gt;0),"잘못된 입력",IF('채점'!V19='채점'!V$8,"정답","오답"))))))</x:f>
        <x:v>정답</x:v>
      </x:c>
      <x:c r="W17" s="2" t="str">
        <x:f>IF('채점'!$C19="결시","결시",IF('채점'!W$45&lt;&gt;"등록","정답 미등록",IF('채점'!W19="","미응답",IF(NOT(ISNUMBER('채점'!W19)),"잘못된 입력",IF(OR('채점'!W19&lt;1,'채점'!W19&gt;4,MOD('채점'!W19,1)&lt;&gt;0),"잘못된 입력",IF('채점'!W19='채점'!W$8,"정답","오답"))))))</x:f>
        <x:v>정답</x:v>
      </x:c>
      <x:c r="X17" s="2" t="str">
        <x:f>IF('채점'!$C19="결시","결시",IF('채점'!X$45&lt;&gt;"등록","정답 미등록",IF('채점'!X19="","미응답",IF(NOT(ISNUMBER('채점'!X19)),"잘못된 입력",IF(OR('채점'!X19&lt;1,'채점'!X19&gt;4,MOD('채점'!X19,1)&lt;&gt;0),"잘못된 입력",IF('채점'!X19='채점'!X$8,"정답","오답"))))))</x:f>
        <x:v>오답</x:v>
      </x:c>
      <x:c r="Y17" s="2" t="str">
        <x:f>IF('채점'!$C19="결시","결시",IF('채점'!Y$45&lt;&gt;"등록","정답 미등록",IF('채점'!Y19="","미응답",IF(NOT(ISNUMBER('채점'!Y19)),"잘못된 입력",IF(OR('채점'!Y19&lt;1,'채점'!Y19&gt;4,MOD('채점'!Y19,1)&lt;&gt;0),"잘못된 입력",IF('채점'!Y19='채점'!Y$8,"정답","오답"))))))</x:f>
        <x:v>오답</x:v>
      </x:c>
      <x:c r="Z17" s="2" t="str">
        <x:f>IF('채점'!$C19="결시","결시",IF('채점'!Z$45&lt;&gt;"등록","정답 미등록",IF('채점'!Z19="","미응답",IF(NOT(ISNUMBER('채점'!Z19)),"잘못된 입력",IF(OR('채점'!Z19&lt;1,'채점'!Z19&gt;4,MOD('채점'!Z19,1)&lt;&gt;0),"잘못된 입력",IF('채점'!Z19='채점'!Z$8,"정답","오답"))))))</x:f>
        <x:v>정답</x:v>
      </x:c>
      <x:c r="AA17" s="2" t="str">
        <x:f>IF('채점'!$C19="결시","결시",IF('채점'!AA$45&lt;&gt;"등록","정답 미등록",IF('채점'!AA19="","미응답",IF(NOT(ISNUMBER('채점'!AA19)),"잘못된 입력",IF(OR('채점'!AA19&lt;1,'채점'!AA19&gt;4,MOD('채점'!AA19,1)&lt;&gt;0),"잘못된 입력",IF('채점'!AA19='채점'!AA$8,"정답","오답"))))))</x:f>
        <x:v>정답</x:v>
      </x:c>
      <x:c r="AB17" s="2" t="str">
        <x:f>IF('채점'!$C19="결시","결시",IF('채점'!AB$45&lt;&gt;"등록","정답 미등록",IF('채점'!AB19="","미응답",IF(NOT(ISNUMBER('채점'!AB19)),"잘못된 입력",IF(OR('채점'!AB19&lt;1,'채점'!AB19&gt;4,MOD('채점'!AB19,1)&lt;&gt;0),"잘못된 입력",IF('채점'!AB19='채점'!AB$8,"정답","오답"))))))</x:f>
        <x:v>오답</x:v>
      </x:c>
      <x:c r="AC17" s="2" t="str">
        <x:f>IF('채점'!$C19="결시","결시",IF('채점'!AC$45&lt;&gt;"등록","정답 미등록",IF('채점'!AC19="","미응답",IF(NOT(ISNUMBER('채점'!AC19)),"잘못된 입력",IF(OR('채점'!AC19&lt;1,'채점'!AC19&gt;4,MOD('채점'!AC19,1)&lt;&gt;0),"잘못된 입력",IF('채점'!AC19='채점'!AC$8,"정답","오답"))))))</x:f>
        <x:v>정답</x:v>
      </x:c>
      <x:c r="AD17" s="2" t="str">
        <x:f>IF('채점'!$C19="결시","결시",IF('채점'!AD$45&lt;&gt;"등록","정답 미등록",IF('채점'!AD19="","미응답",IF(NOT(ISNUMBER('채점'!AD19)),"잘못된 입력",IF(OR('채점'!AD19&lt;1,'채점'!AD19&gt;4,MOD('채점'!AD19,1)&lt;&gt;0),"잘못된 입력",IF('채점'!AD19='채점'!AD$8,"정답","오답"))))))</x:f>
        <x:v>정답</x:v>
      </x:c>
      <x:c r="AE17" s="2" t="str">
        <x:f>IF('채점'!$C19="결시","결시",IF('채점'!AE$45&lt;&gt;"등록","정답 미등록",IF('채점'!AE19="","미응답",IF(NOT(ISNUMBER('채점'!AE19)),"잘못된 입력",IF(OR('채점'!AE19&lt;1,'채점'!AE19&gt;4,MOD('채점'!AE19,1)&lt;&gt;0),"잘못된 입력",IF('채점'!AE19='채점'!AE$8,"정답","오답"))))))</x:f>
        <x:v>오답</x:v>
      </x:c>
      <x:c r="AF17" s="2" t="str">
        <x:f>IF('채점'!$C19="결시","결시",IF('채점'!AF$45&lt;&gt;"등록","정답 미등록",IF('채점'!AF19="","미응답",IF(NOT(ISNUMBER('채점'!AF19)),"잘못된 입력",IF(OR('채점'!AF19&lt;1,'채점'!AF19&gt;4,MOD('채점'!AF19,1)&lt;&gt;0),"잘못된 입력",IF('채점'!AF19='채점'!AF$8,"정답","오답"))))))</x:f>
        <x:v>정답</x:v>
      </x:c>
      <x:c r="AG17" s="2" t="str">
        <x:f>IF('채점'!$C19="결시","결시",IF('채점'!AG$45&lt;&gt;"등록","정답 미등록",IF('채점'!AG19="","미응답",IF(NOT(ISNUMBER('채점'!AG19)),"잘못된 입력",IF(OR('채점'!AG19&lt;1,'채점'!AG19&gt;4,MOD('채점'!AG19,1)&lt;&gt;0),"잘못된 입력",IF('채점'!AG19='채점'!AG$8,"정답","오답"))))))</x:f>
        <x:v>정답</x:v>
      </x:c>
      <x:c r="AH17" s="2" t="str">
        <x:f>IF('채점'!$C19="결시","결시",IF('채점'!AH$45&lt;&gt;"등록","정답 미등록",IF('채점'!AH19="","미응답",IF(NOT(ISNUMBER('채점'!AH19)),"잘못된 입력",IF(OR('채점'!AH19&lt;1,'채점'!AH19&gt;4,MOD('채점'!AH19,1)&lt;&gt;0),"잘못된 입력",IF('채점'!AH19='채점'!AH$8,"정답","오답"))))))</x:f>
        <x:v>오답</x:v>
      </x:c>
      <x:c r="AI17" s="2" t="str">
        <x:f>IF('채점'!$C19="결시","결시",IF('채점'!AI$45&lt;&gt;"등록","정답 미등록",IF('채점'!AI19="","미응답",IF(NOT(ISNUMBER('채점'!AI19)),"잘못된 입력",IF(OR('채점'!AI19&lt;1,'채점'!AI19&gt;4,MOD('채점'!AI19,1)&lt;&gt;0),"잘못된 입력",IF('채점'!AI19='채점'!AI$8,"정답","오답"))))))</x:f>
        <x:v>오답</x:v>
      </x:c>
      <x:c r="AJ17" s="2" t="str">
        <x:f>IF('채점'!$C19="결시","결시",IF('채점'!AJ$45&lt;&gt;"등록","정답 미등록",IF('채점'!AJ19="","미응답",IF(NOT(ISNUMBER('채점'!AJ19)),"잘못된 입력",IF(OR('채점'!AJ19&lt;1,'채점'!AJ19&gt;4,MOD('채점'!AJ19,1)&lt;&gt;0),"잘못된 입력",IF('채점'!AJ19='채점'!AJ$8,"정답","오답"))))))</x:f>
        <x:v>정답</x:v>
      </x:c>
      <x:c r="AK17" s="2" t="str">
        <x:f>IF('채점'!$C19="결시","결시",IF('채점'!AK$45&lt;&gt;"등록","정답 미등록",IF('채점'!AK19="","미응답",IF(NOT(ISNUMBER('채점'!AK19)),"잘못된 입력",IF(OR('채점'!AK19&lt;1,'채점'!AK19&gt;4,MOD('채점'!AK19,1)&lt;&gt;0),"잘못된 입력",IF('채점'!AK19='채점'!AK$8,"정답","오답"))))))</x:f>
        <x:v>정답</x:v>
      </x:c>
      <x:c r="AL17" s="2" t="str">
        <x:f>IF('채점'!$C19="결시","결시",IF('채점'!AL$45&lt;&gt;"등록","정답 미등록",IF('채점'!AL19="","미응답",IF(NOT(ISNUMBER('채점'!AL19)),"잘못된 입력",IF(OR('채점'!AL19&lt;1,'채점'!AL19&gt;4,MOD('채점'!AL19,1)&lt;&gt;0),"잘못된 입력",IF('채점'!AL19='채점'!AL$8,"정답","오답"))))))</x:f>
        <x:v>오답</x:v>
      </x:c>
      <x:c r="AM17" s="2" t="str">
        <x:f>IF('채점'!$C19="결시","결시",IF('채점'!AM$45&lt;&gt;"등록","정답 미등록",IF('채점'!AM19="","미응답",IF(NOT(ISNUMBER('채점'!AM19)),"잘못된 입력",IF(OR('채점'!AM19&lt;1,'채점'!AM19&gt;4,MOD('채점'!AM19,1)&lt;&gt;0),"잘못된 입력",IF('채점'!AM19='채점'!AM$8,"정답","오답"))))))</x:f>
        <x:v>정답</x:v>
      </x:c>
      <x:c r="AN17" s="2" t="str">
        <x:f>IF('채점'!$C19="결시","결시",IF('채점'!AN$45&lt;&gt;"등록","정답 미등록",IF('채점'!AN19="","미응답",IF(NOT(ISNUMBER('채점'!AN19)),"잘못된 입력",IF(OR('채점'!AN19&lt;1,'채점'!AN19&gt;4,MOD('채점'!AN19,1)&lt;&gt;0),"잘못된 입력",IF('채점'!AN19='채점'!AN$8,"정답","오답"))))))</x:f>
        <x:v>정답</x:v>
      </x:c>
      <x:c r="AO17" s="2" t="str">
        <x:f>IF('채점'!$C19="결시","결시",IF('채점'!AO$45&lt;&gt;"등록","정답 미등록",IF('채점'!AO19="","미응답",IF(NOT(ISNUMBER('채점'!AO19)),"잘못된 입력",IF(OR('채점'!AO19&lt;1,'채점'!AO19&gt;4,MOD('채점'!AO19,1)&lt;&gt;0),"잘못된 입력",IF('채점'!AO19='채점'!AO$8,"정답","오답"))))))</x:f>
        <x:v>오답</x:v>
      </x:c>
      <x:c r="AP17" s="2" t="str">
        <x:f>IF('채점'!$C19="결시","결시",IF('채점'!AP$45&lt;&gt;"등록","정답 미등록",IF('채점'!AP19="","미응답",IF(NOT(ISNUMBER('채점'!AP19)),"잘못된 입력",IF(OR('채점'!AP19&lt;1,'채점'!AP19&gt;4,MOD('채점'!AP19,1)&lt;&gt;0),"잘못된 입력",IF('채점'!AP19='채점'!AP$8,"정답","오답"))))))</x:f>
        <x:v>정답</x:v>
      </x:c>
      <x:c r="AQ17" s="2" t="str">
        <x:f>IF('채점'!$C19="결시","결시",IF('채점'!AQ$45&lt;&gt;"등록","정답 미등록",IF('채점'!AQ19="","미응답",IF(NOT(ISNUMBER('채점'!AQ19)),"잘못된 입력",IF(OR('채점'!AQ19&lt;1,'채점'!AQ19&gt;4,MOD('채점'!AQ19,1)&lt;&gt;0),"잘못된 입력",IF('채점'!AQ19='채점'!AQ$8,"정답","오답"))))))</x:f>
        <x:v>정답</x:v>
      </x:c>
    </x:row>
    <x:row r="18" ht="25" customHeight="1">
      <x:c r="A18" s="2" t="str">
        <x:f>'채점'!A20</x:f>
        <x:v>S011</x:v>
      </x:c>
      <x:c r="B18" s="2" t="str">
        <x:f>'채점'!C20</x:f>
        <x:v>응시</x:v>
      </x:c>
      <x:c r="C18" s="2"/>
      <x:c r="D18" s="2" t="str">
        <x:f>IF('채점'!$C20="결시","결시",IF('채점'!D$45&lt;&gt;"등록","정답 미등록",IF('채점'!D20="","미응답",IF(NOT(ISNUMBER('채점'!D20)),"잘못된 입력",IF(OR('채점'!D20&lt;1,'채점'!D20&gt;4,MOD('채점'!D20,1)&lt;&gt;0),"잘못된 입력",IF('채점'!D20='채점'!D$8,"정답","오답"))))))</x:f>
        <x:v>정답</x:v>
      </x:c>
      <x:c r="E18" s="2" t="str">
        <x:f>IF('채점'!$C20="결시","결시",IF('채점'!E$45&lt;&gt;"등록","정답 미등록",IF('채점'!E20="","미응답",IF(NOT(ISNUMBER('채점'!E20)),"잘못된 입력",IF(OR('채점'!E20&lt;1,'채점'!E20&gt;4,MOD('채점'!E20,1)&lt;&gt;0),"잘못된 입력",IF('채점'!E20='채점'!E$8,"정답","오답"))))))</x:f>
        <x:v>오답</x:v>
      </x:c>
      <x:c r="F18" s="2" t="str">
        <x:f>IF('채점'!$C20="결시","결시",IF('채점'!F$45&lt;&gt;"등록","정답 미등록",IF('채점'!F20="","미응답",IF(NOT(ISNUMBER('채점'!F20)),"잘못된 입력",IF(OR('채점'!F20&lt;1,'채점'!F20&gt;4,MOD('채점'!F20,1)&lt;&gt;0),"잘못된 입력",IF('채점'!F20='채점'!F$8,"정답","오답"))))))</x:f>
        <x:v>정답</x:v>
      </x:c>
      <x:c r="G18" s="2" t="str">
        <x:f>IF('채점'!$C20="결시","결시",IF('채점'!G$45&lt;&gt;"등록","정답 미등록",IF('채점'!G20="","미응답",IF(NOT(ISNUMBER('채점'!G20)),"잘못된 입력",IF(OR('채점'!G20&lt;1,'채점'!G20&gt;4,MOD('채점'!G20,1)&lt;&gt;0),"잘못된 입력",IF('채점'!G20='채점'!G$8,"정답","오답"))))))</x:f>
        <x:v>정답</x:v>
      </x:c>
      <x:c r="H18" s="2" t="str">
        <x:f>IF('채점'!$C20="결시","결시",IF('채점'!H$45&lt;&gt;"등록","정답 미등록",IF('채점'!H20="","미응답",IF(NOT(ISNUMBER('채점'!H20)),"잘못된 입력",IF(OR('채점'!H20&lt;1,'채점'!H20&gt;4,MOD('채점'!H20,1)&lt;&gt;0),"잘못된 입력",IF('채점'!H20='채점'!H$8,"정답","오답"))))))</x:f>
        <x:v>오답</x:v>
      </x:c>
      <x:c r="I18" s="2" t="str">
        <x:f>IF('채점'!$C20="결시","결시",IF('채점'!I$45&lt;&gt;"등록","정답 미등록",IF('채점'!I20="","미응답",IF(NOT(ISNUMBER('채점'!I20)),"잘못된 입력",IF(OR('채점'!I20&lt;1,'채점'!I20&gt;4,MOD('채점'!I20,1)&lt;&gt;0),"잘못된 입력",IF('채점'!I20='채점'!I$8,"정답","오답"))))))</x:f>
        <x:v>정답</x:v>
      </x:c>
      <x:c r="J18" s="2" t="str">
        <x:f>IF('채점'!$C20="결시","결시",IF('채점'!J$45&lt;&gt;"등록","정답 미등록",IF('채점'!J20="","미응답",IF(NOT(ISNUMBER('채점'!J20)),"잘못된 입력",IF(OR('채점'!J20&lt;1,'채점'!J20&gt;4,MOD('채점'!J20,1)&lt;&gt;0),"잘못된 입력",IF('채점'!J20='채점'!J$8,"정답","오답"))))))</x:f>
        <x:v>정답</x:v>
      </x:c>
      <x:c r="K18" s="2" t="str">
        <x:f>IF('채점'!$C20="결시","결시",IF('채점'!K$45&lt;&gt;"등록","정답 미등록",IF('채점'!K20="","미응답",IF(NOT(ISNUMBER('채점'!K20)),"잘못된 입력",IF(OR('채점'!K20&lt;1,'채점'!K20&gt;4,MOD('채점'!K20,1)&lt;&gt;0),"잘못된 입력",IF('채점'!K20='채점'!K$8,"정답","오답"))))))</x:f>
        <x:v>오답</x:v>
      </x:c>
      <x:c r="L18" s="2" t="str">
        <x:f>IF('채점'!$C20="결시","결시",IF('채점'!L$45&lt;&gt;"등록","정답 미등록",IF('채점'!L20="","미응답",IF(NOT(ISNUMBER('채점'!L20)),"잘못된 입력",IF(OR('채점'!L20&lt;1,'채점'!L20&gt;4,MOD('채점'!L20,1)&lt;&gt;0),"잘못된 입력",IF('채점'!L20='채점'!L$8,"정답","오답"))))))</x:f>
        <x:v>정답</x:v>
      </x:c>
      <x:c r="M18" s="2" t="str">
        <x:f>IF('채점'!$C20="결시","결시",IF('채점'!M$45&lt;&gt;"등록","정답 미등록",IF('채점'!M20="","미응답",IF(NOT(ISNUMBER('채점'!M20)),"잘못된 입력",IF(OR('채점'!M20&lt;1,'채점'!M20&gt;4,MOD('채점'!M20,1)&lt;&gt;0),"잘못된 입력",IF('채점'!M20='채점'!M$8,"정답","오답"))))))</x:f>
        <x:v>정답</x:v>
      </x:c>
      <x:c r="N18" s="2" t="str">
        <x:f>IF('채점'!$C20="결시","결시",IF('채점'!N$45&lt;&gt;"등록","정답 미등록",IF('채점'!N20="","미응답",IF(NOT(ISNUMBER('채점'!N20)),"잘못된 입력",IF(OR('채점'!N20&lt;1,'채점'!N20&gt;4,MOD('채점'!N20,1)&lt;&gt;0),"잘못된 입력",IF('채점'!N20='채점'!N$8,"정답","오답"))))))</x:f>
        <x:v>정답</x:v>
      </x:c>
      <x:c r="O18" s="2" t="str">
        <x:f>IF('채점'!$C20="결시","결시",IF('채점'!O$45&lt;&gt;"등록","정답 미등록",IF('채점'!O20="","미응답",IF(NOT(ISNUMBER('채점'!O20)),"잘못된 입력",IF(OR('채점'!O20&lt;1,'채점'!O20&gt;4,MOD('채점'!O20,1)&lt;&gt;0),"잘못된 입력",IF('채점'!O20='채점'!O$8,"정답","오답"))))))</x:f>
        <x:v>오답</x:v>
      </x:c>
      <x:c r="P18" s="2" t="str">
        <x:f>IF('채점'!$C20="결시","결시",IF('채점'!P$45&lt;&gt;"등록","정답 미등록",IF('채점'!P20="","미응답",IF(NOT(ISNUMBER('채점'!P20)),"잘못된 입력",IF(OR('채점'!P20&lt;1,'채점'!P20&gt;4,MOD('채점'!P20,1)&lt;&gt;0),"잘못된 입력",IF('채점'!P20='채점'!P$8,"정답","오답"))))))</x:f>
        <x:v>정답</x:v>
      </x:c>
      <x:c r="Q18" s="2" t="str">
        <x:f>IF('채점'!$C20="결시","결시",IF('채점'!Q$45&lt;&gt;"등록","정답 미등록",IF('채점'!Q20="","미응답",IF(NOT(ISNUMBER('채점'!Q20)),"잘못된 입력",IF(OR('채점'!Q20&lt;1,'채점'!Q20&gt;4,MOD('채점'!Q20,1)&lt;&gt;0),"잘못된 입력",IF('채점'!Q20='채점'!Q$8,"정답","오답"))))))</x:f>
        <x:v>정답</x:v>
      </x:c>
      <x:c r="R18" s="2" t="str">
        <x:f>IF('채점'!$C20="결시","결시",IF('채점'!R$45&lt;&gt;"등록","정답 미등록",IF('채점'!R20="","미응답",IF(NOT(ISNUMBER('채점'!R20)),"잘못된 입력",IF(OR('채점'!R20&lt;1,'채점'!R20&gt;4,MOD('채점'!R20,1)&lt;&gt;0),"잘못된 입력",IF('채점'!R20='채점'!R$8,"정답","오답"))))))</x:f>
        <x:v>오답</x:v>
      </x:c>
      <x:c r="S18" s="2" t="str">
        <x:f>IF('채점'!$C20="결시","결시",IF('채점'!S$45&lt;&gt;"등록","정답 미등록",IF('채점'!S20="","미응답",IF(NOT(ISNUMBER('채점'!S20)),"잘못된 입력",IF(OR('채점'!S20&lt;1,'채점'!S20&gt;4,MOD('채점'!S20,1)&lt;&gt;0),"잘못된 입력",IF('채점'!S20='채점'!S$8,"정답","오답"))))))</x:f>
        <x:v>정답</x:v>
      </x:c>
      <x:c r="T18" s="2" t="str">
        <x:f>IF('채점'!$C20="결시","결시",IF('채점'!T$45&lt;&gt;"등록","정답 미등록",IF('채점'!T20="","미응답",IF(NOT(ISNUMBER('채점'!T20)),"잘못된 입력",IF(OR('채점'!T20&lt;1,'채점'!T20&gt;4,MOD('채점'!T20,1)&lt;&gt;0),"잘못된 입력",IF('채점'!T20='채점'!T$8,"정답","오답"))))))</x:f>
        <x:v>정답</x:v>
      </x:c>
      <x:c r="U18" s="2" t="str">
        <x:f>IF('채점'!$C20="결시","결시",IF('채점'!U$45&lt;&gt;"등록","정답 미등록",IF('채점'!U20="","미응답",IF(NOT(ISNUMBER('채점'!U20)),"잘못된 입력",IF(OR('채점'!U20&lt;1,'채점'!U20&gt;4,MOD('채점'!U20,1)&lt;&gt;0),"잘못된 입력",IF('채점'!U20='채점'!U$8,"정답","오답"))))))</x:f>
        <x:v>오답</x:v>
      </x:c>
      <x:c r="V18" s="2" t="str">
        <x:f>IF('채점'!$C20="결시","결시",IF('채점'!V$45&lt;&gt;"등록","정답 미등록",IF('채점'!V20="","미응답",IF(NOT(ISNUMBER('채점'!V20)),"잘못된 입력",IF(OR('채점'!V20&lt;1,'채점'!V20&gt;4,MOD('채점'!V20,1)&lt;&gt;0),"잘못된 입력",IF('채점'!V20='채점'!V$8,"정답","오답"))))))</x:f>
        <x:v>정답</x:v>
      </x:c>
      <x:c r="W18" s="2" t="str">
        <x:f>IF('채점'!$C20="결시","결시",IF('채점'!W$45&lt;&gt;"등록","정답 미등록",IF('채점'!W20="","미응답",IF(NOT(ISNUMBER('채점'!W20)),"잘못된 입력",IF(OR('채점'!W20&lt;1,'채점'!W20&gt;4,MOD('채점'!W20,1)&lt;&gt;0),"잘못된 입력",IF('채점'!W20='채점'!W$8,"정답","오답"))))))</x:f>
        <x:v>정답</x:v>
      </x:c>
      <x:c r="X18" s="2" t="str">
        <x:f>IF('채점'!$C20="결시","결시",IF('채점'!X$45&lt;&gt;"등록","정답 미등록",IF('채점'!X20="","미응답",IF(NOT(ISNUMBER('채점'!X20)),"잘못된 입력",IF(OR('채점'!X20&lt;1,'채점'!X20&gt;4,MOD('채점'!X20,1)&lt;&gt;0),"잘못된 입력",IF('채점'!X20='채점'!X$8,"정답","오답"))))))</x:f>
        <x:v>정답</x:v>
      </x:c>
      <x:c r="Y18" s="2" t="str">
        <x:f>IF('채점'!$C20="결시","결시",IF('채점'!Y$45&lt;&gt;"등록","정답 미등록",IF('채점'!Y20="","미응답",IF(NOT(ISNUMBER('채점'!Y20)),"잘못된 입력",IF(OR('채점'!Y20&lt;1,'채점'!Y20&gt;4,MOD('채점'!Y20,1)&lt;&gt;0),"잘못된 입력",IF('채점'!Y20='채점'!Y$8,"정답","오답"))))))</x:f>
        <x:v>오답</x:v>
      </x:c>
      <x:c r="Z18" s="2" t="str">
        <x:f>IF('채점'!$C20="결시","결시",IF('채점'!Z$45&lt;&gt;"등록","정답 미등록",IF('채점'!Z20="","미응답",IF(NOT(ISNUMBER('채점'!Z20)),"잘못된 입력",IF(OR('채점'!Z20&lt;1,'채점'!Z20&gt;4,MOD('채점'!Z20,1)&lt;&gt;0),"잘못된 입력",IF('채점'!Z20='채점'!Z$8,"정답","오답"))))))</x:f>
        <x:v>정답</x:v>
      </x:c>
      <x:c r="AA18" s="2" t="str">
        <x:f>IF('채점'!$C20="결시","결시",IF('채점'!AA$45&lt;&gt;"등록","정답 미등록",IF('채점'!AA20="","미응답",IF(NOT(ISNUMBER('채점'!AA20)),"잘못된 입력",IF(OR('채점'!AA20&lt;1,'채점'!AA20&gt;4,MOD('채점'!AA20,1)&lt;&gt;0),"잘못된 입력",IF('채점'!AA20='채점'!AA$8,"정답","오답"))))))</x:f>
        <x:v>정답</x:v>
      </x:c>
      <x:c r="AB18" s="2" t="str">
        <x:f>IF('채점'!$C20="결시","결시",IF('채점'!AB$45&lt;&gt;"등록","정답 미등록",IF('채점'!AB20="","미응답",IF(NOT(ISNUMBER('채점'!AB20)),"잘못된 입력",IF(OR('채점'!AB20&lt;1,'채점'!AB20&gt;4,MOD('채점'!AB20,1)&lt;&gt;0),"잘못된 입력",IF('채점'!AB20='채점'!AB$8,"정답","오답"))))))</x:f>
        <x:v>오답</x:v>
      </x:c>
      <x:c r="AC18" s="2" t="str">
        <x:f>IF('채점'!$C20="결시","결시",IF('채점'!AC$45&lt;&gt;"등록","정답 미등록",IF('채점'!AC20="","미응답",IF(NOT(ISNUMBER('채점'!AC20)),"잘못된 입력",IF(OR('채점'!AC20&lt;1,'채점'!AC20&gt;4,MOD('채점'!AC20,1)&lt;&gt;0),"잘못된 입력",IF('채점'!AC20='채점'!AC$8,"정답","오답"))))))</x:f>
        <x:v>정답</x:v>
      </x:c>
      <x:c r="AD18" s="2" t="str">
        <x:f>IF('채점'!$C20="결시","결시",IF('채점'!AD$45&lt;&gt;"등록","정답 미등록",IF('채점'!AD20="","미응답",IF(NOT(ISNUMBER('채점'!AD20)),"잘못된 입력",IF(OR('채점'!AD20&lt;1,'채점'!AD20&gt;4,MOD('채점'!AD20,1)&lt;&gt;0),"잘못된 입력",IF('채점'!AD20='채점'!AD$8,"정답","오답"))))))</x:f>
        <x:v>정답</x:v>
      </x:c>
      <x:c r="AE18" s="2" t="str">
        <x:f>IF('채점'!$C20="결시","결시",IF('채점'!AE$45&lt;&gt;"등록","정답 미등록",IF('채점'!AE20="","미응답",IF(NOT(ISNUMBER('채점'!AE20)),"잘못된 입력",IF(OR('채점'!AE20&lt;1,'채점'!AE20&gt;4,MOD('채점'!AE20,1)&lt;&gt;0),"잘못된 입력",IF('채점'!AE20='채점'!AE$8,"정답","오답"))))))</x:f>
        <x:v>오답</x:v>
      </x:c>
      <x:c r="AF18" s="2" t="str">
        <x:f>IF('채점'!$C20="결시","결시",IF('채점'!AF$45&lt;&gt;"등록","정답 미등록",IF('채점'!AF20="","미응답",IF(NOT(ISNUMBER('채점'!AF20)),"잘못된 입력",IF(OR('채점'!AF20&lt;1,'채점'!AF20&gt;4,MOD('채점'!AF20,1)&lt;&gt;0),"잘못된 입력",IF('채점'!AF20='채점'!AF$8,"정답","오답"))))))</x:f>
        <x:v>정답</x:v>
      </x:c>
      <x:c r="AG18" s="2" t="str">
        <x:f>IF('채점'!$C20="결시","결시",IF('채점'!AG$45&lt;&gt;"등록","정답 미등록",IF('채점'!AG20="","미응답",IF(NOT(ISNUMBER('채점'!AG20)),"잘못된 입력",IF(OR('채점'!AG20&lt;1,'채점'!AG20&gt;4,MOD('채점'!AG20,1)&lt;&gt;0),"잘못된 입력",IF('채점'!AG20='채점'!AG$8,"정답","오답"))))))</x:f>
        <x:v>정답</x:v>
      </x:c>
      <x:c r="AH18" s="2" t="str">
        <x:f>IF('채점'!$C20="결시","결시",IF('채점'!AH$45&lt;&gt;"등록","정답 미등록",IF('채점'!AH20="","미응답",IF(NOT(ISNUMBER('채점'!AH20)),"잘못된 입력",IF(OR('채점'!AH20&lt;1,'채점'!AH20&gt;4,MOD('채점'!AH20,1)&lt;&gt;0),"잘못된 입력",IF('채점'!AH20='채점'!AH$8,"정답","오답"))))))</x:f>
        <x:v>정답</x:v>
      </x:c>
      <x:c r="AI18" s="2" t="str">
        <x:f>IF('채점'!$C20="결시","결시",IF('채점'!AI$45&lt;&gt;"등록","정답 미등록",IF('채점'!AI20="","미응답",IF(NOT(ISNUMBER('채점'!AI20)),"잘못된 입력",IF(OR('채점'!AI20&lt;1,'채점'!AI20&gt;4,MOD('채점'!AI20,1)&lt;&gt;0),"잘못된 입력",IF('채점'!AI20='채점'!AI$8,"정답","오답"))))))</x:f>
        <x:v>오답</x:v>
      </x:c>
      <x:c r="AJ18" s="2" t="str">
        <x:f>IF('채점'!$C20="결시","결시",IF('채점'!AJ$45&lt;&gt;"등록","정답 미등록",IF('채점'!AJ20="","미응답",IF(NOT(ISNUMBER('채점'!AJ20)),"잘못된 입력",IF(OR('채점'!AJ20&lt;1,'채점'!AJ20&gt;4,MOD('채점'!AJ20,1)&lt;&gt;0),"잘못된 입력",IF('채점'!AJ20='채점'!AJ$8,"정답","오답"))))))</x:f>
        <x:v>정답</x:v>
      </x:c>
      <x:c r="AK18" s="2" t="str">
        <x:f>IF('채점'!$C20="결시","결시",IF('채점'!AK$45&lt;&gt;"등록","정답 미등록",IF('채점'!AK20="","미응답",IF(NOT(ISNUMBER('채점'!AK20)),"잘못된 입력",IF(OR('채점'!AK20&lt;1,'채점'!AK20&gt;4,MOD('채점'!AK20,1)&lt;&gt;0),"잘못된 입력",IF('채점'!AK20='채점'!AK$8,"정답","오답"))))))</x:f>
        <x:v>정답</x:v>
      </x:c>
      <x:c r="AL18" s="2" t="str">
        <x:f>IF('채점'!$C20="결시","결시",IF('채점'!AL$45&lt;&gt;"등록","정답 미등록",IF('채점'!AL20="","미응답",IF(NOT(ISNUMBER('채점'!AL20)),"잘못된 입력",IF(OR('채점'!AL20&lt;1,'채점'!AL20&gt;4,MOD('채점'!AL20,1)&lt;&gt;0),"잘못된 입력",IF('채점'!AL20='채점'!AL$8,"정답","오답"))))))</x:f>
        <x:v>오답</x:v>
      </x:c>
      <x:c r="AM18" s="2" t="str">
        <x:f>IF('채점'!$C20="결시","결시",IF('채점'!AM$45&lt;&gt;"등록","정답 미등록",IF('채점'!AM20="","미응답",IF(NOT(ISNUMBER('채점'!AM20)),"잘못된 입력",IF(OR('채점'!AM20&lt;1,'채점'!AM20&gt;4,MOD('채점'!AM20,1)&lt;&gt;0),"잘못된 입력",IF('채점'!AM20='채점'!AM$8,"정답","오답"))))))</x:f>
        <x:v>정답</x:v>
      </x:c>
      <x:c r="AN18" s="2" t="str">
        <x:f>IF('채점'!$C20="결시","결시",IF('채점'!AN$45&lt;&gt;"등록","정답 미등록",IF('채점'!AN20="","미응답",IF(NOT(ISNUMBER('채점'!AN20)),"잘못된 입력",IF(OR('채점'!AN20&lt;1,'채점'!AN20&gt;4,MOD('채점'!AN20,1)&lt;&gt;0),"잘못된 입력",IF('채점'!AN20='채점'!AN$8,"정답","오답"))))))</x:f>
        <x:v>정답</x:v>
      </x:c>
      <x:c r="AO18" s="2" t="str">
        <x:f>IF('채점'!$C20="결시","결시",IF('채점'!AO$45&lt;&gt;"등록","정답 미등록",IF('채점'!AO20="","미응답",IF(NOT(ISNUMBER('채점'!AO20)),"잘못된 입력",IF(OR('채점'!AO20&lt;1,'채점'!AO20&gt;4,MOD('채점'!AO20,1)&lt;&gt;0),"잘못된 입력",IF('채점'!AO20='채점'!AO$8,"정답","오답"))))))</x:f>
        <x:v>오답</x:v>
      </x:c>
      <x:c r="AP18" s="2" t="str">
        <x:f>IF('채점'!$C20="결시","결시",IF('채점'!AP$45&lt;&gt;"등록","정답 미등록",IF('채점'!AP20="","미응답",IF(NOT(ISNUMBER('채점'!AP20)),"잘못된 입력",IF(OR('채점'!AP20&lt;1,'채점'!AP20&gt;4,MOD('채점'!AP20,1)&lt;&gt;0),"잘못된 입력",IF('채점'!AP20='채점'!AP$8,"정답","오답"))))))</x:f>
        <x:v>정답</x:v>
      </x:c>
      <x:c r="AQ18" s="2" t="str">
        <x:f>IF('채점'!$C20="결시","결시",IF('채점'!AQ$45&lt;&gt;"등록","정답 미등록",IF('채점'!AQ20="","미응답",IF(NOT(ISNUMBER('채점'!AQ20)),"잘못된 입력",IF(OR('채점'!AQ20&lt;1,'채점'!AQ20&gt;4,MOD('채점'!AQ20,1)&lt;&gt;0),"잘못된 입력",IF('채점'!AQ20='채점'!AQ$8,"정답","오답"))))))</x:f>
        <x:v>정답</x:v>
      </x:c>
    </x:row>
    <x:row r="19" ht="25" customHeight="1">
      <x:c r="A19" s="2" t="str">
        <x:f>'채점'!A21</x:f>
        <x:v>S012</x:v>
      </x:c>
      <x:c r="B19" s="2" t="str">
        <x:f>'채점'!C21</x:f>
        <x:v>응시</x:v>
      </x:c>
      <x:c r="C19" s="2"/>
      <x:c r="D19" s="2" t="str">
        <x:f>IF('채점'!$C21="결시","결시",IF('채점'!D$45&lt;&gt;"등록","정답 미등록",IF('채점'!D21="","미응답",IF(NOT(ISNUMBER('채점'!D21)),"잘못된 입력",IF(OR('채점'!D21&lt;1,'채점'!D21&gt;4,MOD('채점'!D21,1)&lt;&gt;0),"잘못된 입력",IF('채점'!D21='채점'!D$8,"정답","오답"))))))</x:f>
        <x:v>정답</x:v>
      </x:c>
      <x:c r="E19" s="2" t="str">
        <x:f>IF('채점'!$C21="결시","결시",IF('채점'!E$45&lt;&gt;"등록","정답 미등록",IF('채점'!E21="","미응답",IF(NOT(ISNUMBER('채점'!E21)),"잘못된 입력",IF(OR('채점'!E21&lt;1,'채점'!E21&gt;4,MOD('채점'!E21,1)&lt;&gt;0),"잘못된 입력",IF('채점'!E21='채점'!E$8,"정답","오답"))))))</x:f>
        <x:v>오답</x:v>
      </x:c>
      <x:c r="F19" s="2" t="str">
        <x:f>IF('채점'!$C21="결시","결시",IF('채점'!F$45&lt;&gt;"등록","정답 미등록",IF('채점'!F21="","미응답",IF(NOT(ISNUMBER('채점'!F21)),"잘못된 입력",IF(OR('채점'!F21&lt;1,'채점'!F21&gt;4,MOD('채점'!F21,1)&lt;&gt;0),"잘못된 입력",IF('채점'!F21='채점'!F$8,"정답","오답"))))))</x:f>
        <x:v>정답</x:v>
      </x:c>
      <x:c r="G19" s="2" t="str">
        <x:f>IF('채점'!$C21="결시","결시",IF('채점'!G$45&lt;&gt;"등록","정답 미등록",IF('채점'!G21="","미응답",IF(NOT(ISNUMBER('채점'!G21)),"잘못된 입력",IF(OR('채점'!G21&lt;1,'채점'!G21&gt;4,MOD('채점'!G21,1)&lt;&gt;0),"잘못된 입력",IF('채점'!G21='채점'!G$8,"정답","오답"))))))</x:f>
        <x:v>정답</x:v>
      </x:c>
      <x:c r="H19" s="2" t="str">
        <x:f>IF('채점'!$C21="결시","결시",IF('채점'!H$45&lt;&gt;"등록","정답 미등록",IF('채점'!H21="","미응답",IF(NOT(ISNUMBER('채점'!H21)),"잘못된 입력",IF(OR('채점'!H21&lt;1,'채점'!H21&gt;4,MOD('채점'!H21,1)&lt;&gt;0),"잘못된 입력",IF('채점'!H21='채점'!H$8,"정답","오답"))))))</x:f>
        <x:v>오답</x:v>
      </x:c>
      <x:c r="I19" s="2" t="str">
        <x:f>IF('채점'!$C21="결시","결시",IF('채점'!I$45&lt;&gt;"등록","정답 미등록",IF('채점'!I21="","미응답",IF(NOT(ISNUMBER('채점'!I21)),"잘못된 입력",IF(OR('채점'!I21&lt;1,'채점'!I21&gt;4,MOD('채점'!I21,1)&lt;&gt;0),"잘못된 입력",IF('채점'!I21='채점'!I$8,"정답","오답"))))))</x:f>
        <x:v>정답</x:v>
      </x:c>
      <x:c r="J19" s="2" t="str">
        <x:f>IF('채점'!$C21="결시","결시",IF('채점'!J$45&lt;&gt;"등록","정답 미등록",IF('채점'!J21="","미응답",IF(NOT(ISNUMBER('채점'!J21)),"잘못된 입력",IF(OR('채점'!J21&lt;1,'채점'!J21&gt;4,MOD('채점'!J21,1)&lt;&gt;0),"잘못된 입력",IF('채점'!J21='채점'!J$8,"정답","오답"))))))</x:f>
        <x:v>정답</x:v>
      </x:c>
      <x:c r="K19" s="2" t="str">
        <x:f>IF('채점'!$C21="결시","결시",IF('채점'!K$45&lt;&gt;"등록","정답 미등록",IF('채점'!K21="","미응답",IF(NOT(ISNUMBER('채점'!K21)),"잘못된 입력",IF(OR('채점'!K21&lt;1,'채점'!K21&gt;4,MOD('채점'!K21,1)&lt;&gt;0),"잘못된 입력",IF('채점'!K21='채점'!K$8,"정답","오답"))))))</x:f>
        <x:v>정답</x:v>
      </x:c>
      <x:c r="L19" s="2" t="str">
        <x:f>IF('채점'!$C21="결시","결시",IF('채점'!L$45&lt;&gt;"등록","정답 미등록",IF('채점'!L21="","미응답",IF(NOT(ISNUMBER('채점'!L21)),"잘못된 입력",IF(OR('채점'!L21&lt;1,'채점'!L21&gt;4,MOD('채점'!L21,1)&lt;&gt;0),"잘못된 입력",IF('채점'!L21='채점'!L$8,"정답","오답"))))))</x:f>
        <x:v>정답</x:v>
      </x:c>
      <x:c r="M19" s="2" t="str">
        <x:f>IF('채점'!$C21="결시","결시",IF('채점'!M$45&lt;&gt;"등록","정답 미등록",IF('채점'!M21="","미응답",IF(NOT(ISNUMBER('채점'!M21)),"잘못된 입력",IF(OR('채점'!M21&lt;1,'채점'!M21&gt;4,MOD('채점'!M21,1)&lt;&gt;0),"잘못된 입력",IF('채점'!M21='채점'!M$8,"정답","오답"))))))</x:f>
        <x:v>정답</x:v>
      </x:c>
      <x:c r="N19" s="2" t="str">
        <x:f>IF('채점'!$C21="결시","결시",IF('채점'!N$45&lt;&gt;"등록","정답 미등록",IF('채점'!N21="","미응답",IF(NOT(ISNUMBER('채점'!N21)),"잘못된 입력",IF(OR('채점'!N21&lt;1,'채점'!N21&gt;4,MOD('채점'!N21,1)&lt;&gt;0),"잘못된 입력",IF('채점'!N21='채점'!N$8,"정답","오답"))))))</x:f>
        <x:v>정답</x:v>
      </x:c>
      <x:c r="O19" s="2" t="str">
        <x:f>IF('채점'!$C21="결시","결시",IF('채점'!O$45&lt;&gt;"등록","정답 미등록",IF('채점'!O21="","미응답",IF(NOT(ISNUMBER('채점'!O21)),"잘못된 입력",IF(OR('채점'!O21&lt;1,'채점'!O21&gt;4,MOD('채점'!O21,1)&lt;&gt;0),"잘못된 입력",IF('채점'!O21='채점'!O$8,"정답","오답"))))))</x:f>
        <x:v>오답</x:v>
      </x:c>
      <x:c r="P19" s="2" t="str">
        <x:f>IF('채점'!$C21="결시","결시",IF('채점'!P$45&lt;&gt;"등록","정답 미등록",IF('채점'!P21="","미응답",IF(NOT(ISNUMBER('채점'!P21)),"잘못된 입력",IF(OR('채점'!P21&lt;1,'채점'!P21&gt;4,MOD('채점'!P21,1)&lt;&gt;0),"잘못된 입력",IF('채점'!P21='채점'!P$8,"정답","오답"))))))</x:f>
        <x:v>정답</x:v>
      </x:c>
      <x:c r="Q19" s="2" t="str">
        <x:f>IF('채점'!$C21="결시","결시",IF('채점'!Q$45&lt;&gt;"등록","정답 미등록",IF('채점'!Q21="","미응답",IF(NOT(ISNUMBER('채점'!Q21)),"잘못된 입력",IF(OR('채점'!Q21&lt;1,'채점'!Q21&gt;4,MOD('채점'!Q21,1)&lt;&gt;0),"잘못된 입력",IF('채점'!Q21='채점'!Q$8,"정답","오답"))))))</x:f>
        <x:v>정답</x:v>
      </x:c>
      <x:c r="R19" s="2" t="str">
        <x:f>IF('채점'!$C21="결시","결시",IF('채점'!R$45&lt;&gt;"등록","정답 미등록",IF('채점'!R21="","미응답",IF(NOT(ISNUMBER('채점'!R21)),"잘못된 입력",IF(OR('채점'!R21&lt;1,'채점'!R21&gt;4,MOD('채점'!R21,1)&lt;&gt;0),"잘못된 입력",IF('채점'!R21='채점'!R$8,"정답","오답"))))))</x:f>
        <x:v>오답</x:v>
      </x:c>
      <x:c r="S19" s="2" t="str">
        <x:f>IF('채점'!$C21="결시","결시",IF('채점'!S$45&lt;&gt;"등록","정답 미등록",IF('채점'!S21="","미응답",IF(NOT(ISNUMBER('채점'!S21)),"잘못된 입력",IF(OR('채점'!S21&lt;1,'채점'!S21&gt;4,MOD('채점'!S21,1)&lt;&gt;0),"잘못된 입력",IF('채점'!S21='채점'!S$8,"정답","오답"))))))</x:f>
        <x:v>정답</x:v>
      </x:c>
      <x:c r="T19" s="2" t="str">
        <x:f>IF('채점'!$C21="결시","결시",IF('채점'!T$45&lt;&gt;"등록","정답 미등록",IF('채점'!T21="","미응답",IF(NOT(ISNUMBER('채점'!T21)),"잘못된 입력",IF(OR('채점'!T21&lt;1,'채점'!T21&gt;4,MOD('채점'!T21,1)&lt;&gt;0),"잘못된 입력",IF('채점'!T21='채점'!T$8,"정답","오답"))))))</x:f>
        <x:v>정답</x:v>
      </x:c>
      <x:c r="U19" s="2" t="str">
        <x:f>IF('채점'!$C21="결시","결시",IF('채점'!U$45&lt;&gt;"등록","정답 미등록",IF('채점'!U21="","미응답",IF(NOT(ISNUMBER('채점'!U21)),"잘못된 입력",IF(OR('채점'!U21&lt;1,'채점'!U21&gt;4,MOD('채점'!U21,1)&lt;&gt;0),"잘못된 입력",IF('채점'!U21='채점'!U$8,"정답","오답"))))))</x:f>
        <x:v>정답</x:v>
      </x:c>
      <x:c r="V19" s="2" t="str">
        <x:f>IF('채점'!$C21="결시","결시",IF('채점'!V$45&lt;&gt;"등록","정답 미등록",IF('채점'!V21="","미응답",IF(NOT(ISNUMBER('채점'!V21)),"잘못된 입력",IF(OR('채점'!V21&lt;1,'채점'!V21&gt;4,MOD('채점'!V21,1)&lt;&gt;0),"잘못된 입력",IF('채점'!V21='채점'!V$8,"정답","오답"))))))</x:f>
        <x:v>정답</x:v>
      </x:c>
      <x:c r="W19" s="2" t="str">
        <x:f>IF('채점'!$C21="결시","결시",IF('채점'!W$45&lt;&gt;"등록","정답 미등록",IF('채점'!W21="","미응답",IF(NOT(ISNUMBER('채점'!W21)),"잘못된 입력",IF(OR('채점'!W21&lt;1,'채점'!W21&gt;4,MOD('채점'!W21,1)&lt;&gt;0),"잘못된 입력",IF('채점'!W21='채점'!W$8,"정답","오답"))))))</x:f>
        <x:v>정답</x:v>
      </x:c>
      <x:c r="X19" s="2" t="str">
        <x:f>IF('채점'!$C21="결시","결시",IF('채점'!X$45&lt;&gt;"등록","정답 미등록",IF('채점'!X21="","미응답",IF(NOT(ISNUMBER('채점'!X21)),"잘못된 입력",IF(OR('채점'!X21&lt;1,'채점'!X21&gt;4,MOD('채점'!X21,1)&lt;&gt;0),"잘못된 입력",IF('채점'!X21='채점'!X$8,"정답","오답"))))))</x:f>
        <x:v>정답</x:v>
      </x:c>
      <x:c r="Y19" s="2" t="str">
        <x:f>IF('채점'!$C21="결시","결시",IF('채점'!Y$45&lt;&gt;"등록","정답 미등록",IF('채점'!Y21="","미응답",IF(NOT(ISNUMBER('채점'!Y21)),"잘못된 입력",IF(OR('채점'!Y21&lt;1,'채점'!Y21&gt;4,MOD('채점'!Y21,1)&lt;&gt;0),"잘못된 입력",IF('채점'!Y21='채점'!Y$8,"정답","오답"))))))</x:f>
        <x:v>오답</x:v>
      </x:c>
      <x:c r="Z19" s="2" t="str">
        <x:f>IF('채점'!$C21="결시","결시",IF('채점'!Z$45&lt;&gt;"등록","정답 미등록",IF('채점'!Z21="","미응답",IF(NOT(ISNUMBER('채점'!Z21)),"잘못된 입력",IF(OR('채점'!Z21&lt;1,'채점'!Z21&gt;4,MOD('채점'!Z21,1)&lt;&gt;0),"잘못된 입력",IF('채점'!Z21='채점'!Z$8,"정답","오답"))))))</x:f>
        <x:v>정답</x:v>
      </x:c>
      <x:c r="AA19" s="2" t="str">
        <x:f>IF('채점'!$C21="결시","결시",IF('채점'!AA$45&lt;&gt;"등록","정답 미등록",IF('채점'!AA21="","미응답",IF(NOT(ISNUMBER('채점'!AA21)),"잘못된 입력",IF(OR('채점'!AA21&lt;1,'채점'!AA21&gt;4,MOD('채점'!AA21,1)&lt;&gt;0),"잘못된 입력",IF('채점'!AA21='채점'!AA$8,"정답","오답"))))))</x:f>
        <x:v>정답</x:v>
      </x:c>
      <x:c r="AB19" s="2" t="str">
        <x:f>IF('채점'!$C21="결시","결시",IF('채점'!AB$45&lt;&gt;"등록","정답 미등록",IF('채점'!AB21="","미응답",IF(NOT(ISNUMBER('채점'!AB21)),"잘못된 입력",IF(OR('채점'!AB21&lt;1,'채점'!AB21&gt;4,MOD('채점'!AB21,1)&lt;&gt;0),"잘못된 입력",IF('채점'!AB21='채점'!AB$8,"정답","오답"))))))</x:f>
        <x:v>오답</x:v>
      </x:c>
      <x:c r="AC19" s="2" t="str">
        <x:f>IF('채점'!$C21="결시","결시",IF('채점'!AC$45&lt;&gt;"등록","정답 미등록",IF('채점'!AC21="","미응답",IF(NOT(ISNUMBER('채점'!AC21)),"잘못된 입력",IF(OR('채점'!AC21&lt;1,'채점'!AC21&gt;4,MOD('채점'!AC21,1)&lt;&gt;0),"잘못된 입력",IF('채점'!AC21='채점'!AC$8,"정답","오답"))))))</x:f>
        <x:v>정답</x:v>
      </x:c>
      <x:c r="AD19" s="2" t="str">
        <x:f>IF('채점'!$C21="결시","결시",IF('채점'!AD$45&lt;&gt;"등록","정답 미등록",IF('채점'!AD21="","미응답",IF(NOT(ISNUMBER('채점'!AD21)),"잘못된 입력",IF(OR('채점'!AD21&lt;1,'채점'!AD21&gt;4,MOD('채점'!AD21,1)&lt;&gt;0),"잘못된 입력",IF('채점'!AD21='채점'!AD$8,"정답","오답"))))))</x:f>
        <x:v>정답</x:v>
      </x:c>
      <x:c r="AE19" s="2" t="str">
        <x:f>IF('채점'!$C21="결시","결시",IF('채점'!AE$45&lt;&gt;"등록","정답 미등록",IF('채점'!AE21="","미응답",IF(NOT(ISNUMBER('채점'!AE21)),"잘못된 입력",IF(OR('채점'!AE21&lt;1,'채점'!AE21&gt;4,MOD('채점'!AE21,1)&lt;&gt;0),"잘못된 입력",IF('채점'!AE21='채점'!AE$8,"정답","오답"))))))</x:f>
        <x:v>정답</x:v>
      </x:c>
      <x:c r="AF19" s="2" t="str">
        <x:f>IF('채점'!$C21="결시","결시",IF('채점'!AF$45&lt;&gt;"등록","정답 미등록",IF('채점'!AF21="","미응답",IF(NOT(ISNUMBER('채점'!AF21)),"잘못된 입력",IF(OR('채점'!AF21&lt;1,'채점'!AF21&gt;4,MOD('채점'!AF21,1)&lt;&gt;0),"잘못된 입력",IF('채점'!AF21='채점'!AF$8,"정답","오답"))))))</x:f>
        <x:v>정답</x:v>
      </x:c>
      <x:c r="AG19" s="2" t="str">
        <x:f>IF('채점'!$C21="결시","결시",IF('채점'!AG$45&lt;&gt;"등록","정답 미등록",IF('채점'!AG21="","미응답",IF(NOT(ISNUMBER('채점'!AG21)),"잘못된 입력",IF(OR('채점'!AG21&lt;1,'채점'!AG21&gt;4,MOD('채점'!AG21,1)&lt;&gt;0),"잘못된 입력",IF('채점'!AG21='채점'!AG$8,"정답","오답"))))))</x:f>
        <x:v>정답</x:v>
      </x:c>
      <x:c r="AH19" s="2" t="str">
        <x:f>IF('채점'!$C21="결시","결시",IF('채점'!AH$45&lt;&gt;"등록","정답 미등록",IF('채점'!AH21="","미응답",IF(NOT(ISNUMBER('채점'!AH21)),"잘못된 입력",IF(OR('채점'!AH21&lt;1,'채점'!AH21&gt;4,MOD('채점'!AH21,1)&lt;&gt;0),"잘못된 입력",IF('채점'!AH21='채점'!AH$8,"정답","오답"))))))</x:f>
        <x:v>정답</x:v>
      </x:c>
      <x:c r="AI19" s="2" t="str">
        <x:f>IF('채점'!$C21="결시","결시",IF('채점'!AI$45&lt;&gt;"등록","정답 미등록",IF('채점'!AI21="","미응답",IF(NOT(ISNUMBER('채점'!AI21)),"잘못된 입력",IF(OR('채점'!AI21&lt;1,'채점'!AI21&gt;4,MOD('채점'!AI21,1)&lt;&gt;0),"잘못된 입력",IF('채점'!AI21='채점'!AI$8,"정답","오답"))))))</x:f>
        <x:v>오답</x:v>
      </x:c>
      <x:c r="AJ19" s="2" t="str">
        <x:f>IF('채점'!$C21="결시","결시",IF('채점'!AJ$45&lt;&gt;"등록","정답 미등록",IF('채점'!AJ21="","미응답",IF(NOT(ISNUMBER('채점'!AJ21)),"잘못된 입력",IF(OR('채점'!AJ21&lt;1,'채점'!AJ21&gt;4,MOD('채점'!AJ21,1)&lt;&gt;0),"잘못된 입력",IF('채점'!AJ21='채점'!AJ$8,"정답","오답"))))))</x:f>
        <x:v>정답</x:v>
      </x:c>
      <x:c r="AK19" s="2" t="str">
        <x:f>IF('채점'!$C21="결시","결시",IF('채점'!AK$45&lt;&gt;"등록","정답 미등록",IF('채점'!AK21="","미응답",IF(NOT(ISNUMBER('채점'!AK21)),"잘못된 입력",IF(OR('채점'!AK21&lt;1,'채점'!AK21&gt;4,MOD('채점'!AK21,1)&lt;&gt;0),"잘못된 입력",IF('채점'!AK21='채점'!AK$8,"정답","오답"))))))</x:f>
        <x:v>정답</x:v>
      </x:c>
      <x:c r="AL19" s="2" t="str">
        <x:f>IF('채점'!$C21="결시","결시",IF('채점'!AL$45&lt;&gt;"등록","정답 미등록",IF('채점'!AL21="","미응답",IF(NOT(ISNUMBER('채점'!AL21)),"잘못된 입력",IF(OR('채점'!AL21&lt;1,'채점'!AL21&gt;4,MOD('채점'!AL21,1)&lt;&gt;0),"잘못된 입력",IF('채점'!AL21='채점'!AL$8,"정답","오답"))))))</x:f>
        <x:v>오답</x:v>
      </x:c>
      <x:c r="AM19" s="2" t="str">
        <x:f>IF('채점'!$C21="결시","결시",IF('채점'!AM$45&lt;&gt;"등록","정답 미등록",IF('채점'!AM21="","미응답",IF(NOT(ISNUMBER('채점'!AM21)),"잘못된 입력",IF(OR('채점'!AM21&lt;1,'채점'!AM21&gt;4,MOD('채점'!AM21,1)&lt;&gt;0),"잘못된 입력",IF('채점'!AM21='채점'!AM$8,"정답","오답"))))))</x:f>
        <x:v>정답</x:v>
      </x:c>
      <x:c r="AN19" s="2" t="str">
        <x:f>IF('채점'!$C21="결시","결시",IF('채점'!AN$45&lt;&gt;"등록","정답 미등록",IF('채점'!AN21="","미응답",IF(NOT(ISNUMBER('채점'!AN21)),"잘못된 입력",IF(OR('채점'!AN21&lt;1,'채점'!AN21&gt;4,MOD('채점'!AN21,1)&lt;&gt;0),"잘못된 입력",IF('채점'!AN21='채점'!AN$8,"정답","오답"))))))</x:f>
        <x:v>정답</x:v>
      </x:c>
      <x:c r="AO19" s="2" t="str">
        <x:f>IF('채점'!$C21="결시","결시",IF('채점'!AO$45&lt;&gt;"등록","정답 미등록",IF('채점'!AO21="","미응답",IF(NOT(ISNUMBER('채점'!AO21)),"잘못된 입력",IF(OR('채점'!AO21&lt;1,'채점'!AO21&gt;4,MOD('채점'!AO21,1)&lt;&gt;0),"잘못된 입력",IF('채점'!AO21='채점'!AO$8,"정답","오답"))))))</x:f>
        <x:v>정답</x:v>
      </x:c>
      <x:c r="AP19" s="2" t="str">
        <x:f>IF('채점'!$C21="결시","결시",IF('채점'!AP$45&lt;&gt;"등록","정답 미등록",IF('채점'!AP21="","미응답",IF(NOT(ISNUMBER('채점'!AP21)),"잘못된 입력",IF(OR('채점'!AP21&lt;1,'채점'!AP21&gt;4,MOD('채점'!AP21,1)&lt;&gt;0),"잘못된 입력",IF('채점'!AP21='채점'!AP$8,"정답","오답"))))))</x:f>
        <x:v>정답</x:v>
      </x:c>
      <x:c r="AQ19" s="2" t="str">
        <x:f>IF('채점'!$C21="결시","결시",IF('채점'!AQ$45&lt;&gt;"등록","정답 미등록",IF('채점'!AQ21="","미응답",IF(NOT(ISNUMBER('채점'!AQ21)),"잘못된 입력",IF(OR('채점'!AQ21&lt;1,'채점'!AQ21&gt;4,MOD('채점'!AQ21,1)&lt;&gt;0),"잘못된 입력",IF('채점'!AQ21='채점'!AQ$8,"정답","오답"))))))</x:f>
        <x:v>정답</x:v>
      </x:c>
    </x:row>
    <x:row r="20" ht="25" customHeight="1">
      <x:c r="A20" s="2" t="str">
        <x:f>'채점'!A22</x:f>
        <x:v>S013</x:v>
      </x:c>
      <x:c r="B20" s="2" t="str">
        <x:f>'채점'!C22</x:f>
        <x:v>응시</x:v>
      </x:c>
      <x:c r="C20" s="2"/>
      <x:c r="D20" s="2" t="str">
        <x:f>IF('채점'!$C22="결시","결시",IF('채점'!D$45&lt;&gt;"등록","정답 미등록",IF('채점'!D22="","미응답",IF(NOT(ISNUMBER('채점'!D22)),"잘못된 입력",IF(OR('채점'!D22&lt;1,'채점'!D22&gt;4,MOD('채점'!D22,1)&lt;&gt;0),"잘못된 입력",IF('채점'!D22='채점'!D$8,"정답","오답"))))))</x:f>
        <x:v>정답</x:v>
      </x:c>
      <x:c r="E20" s="2" t="str">
        <x:f>IF('채점'!$C22="결시","결시",IF('채점'!E$45&lt;&gt;"등록","정답 미등록",IF('채점'!E22="","미응답",IF(NOT(ISNUMBER('채점'!E22)),"잘못된 입력",IF(OR('채점'!E22&lt;1,'채점'!E22&gt;4,MOD('채점'!E22,1)&lt;&gt;0),"잘못된 입력",IF('채점'!E22='채점'!E$8,"정답","오답"))))))</x:f>
        <x:v>오답</x:v>
      </x:c>
      <x:c r="F20" s="2" t="str">
        <x:f>IF('채점'!$C22="결시","결시",IF('채점'!F$45&lt;&gt;"등록","정답 미등록",IF('채점'!F22="","미응답",IF(NOT(ISNUMBER('채점'!F22)),"잘못된 입력",IF(OR('채점'!F22&lt;1,'채점'!F22&gt;4,MOD('채점'!F22,1)&lt;&gt;0),"잘못된 입력",IF('채점'!F22='채점'!F$8,"정답","오답"))))))</x:f>
        <x:v>오답</x:v>
      </x:c>
      <x:c r="G20" s="2" t="str">
        <x:f>IF('채점'!$C22="결시","결시",IF('채점'!G$45&lt;&gt;"등록","정답 미등록",IF('채점'!G22="","미응답",IF(NOT(ISNUMBER('채점'!G22)),"잘못된 입력",IF(OR('채점'!G22&lt;1,'채점'!G22&gt;4,MOD('채점'!G22,1)&lt;&gt;0),"잘못된 입력",IF('채점'!G22='채점'!G$8,"정답","오답"))))))</x:f>
        <x:v>정답</x:v>
      </x:c>
      <x:c r="H20" s="2" t="str">
        <x:f>IF('채점'!$C22="결시","결시",IF('채점'!H$45&lt;&gt;"등록","정답 미등록",IF('채점'!H22="","미응답",IF(NOT(ISNUMBER('채점'!H22)),"잘못된 입력",IF(OR('채점'!H22&lt;1,'채점'!H22&gt;4,MOD('채점'!H22,1)&lt;&gt;0),"잘못된 입력",IF('채점'!H22='채점'!H$8,"정답","오답"))))))</x:f>
        <x:v>정답</x:v>
      </x:c>
      <x:c r="I20" s="2" t="str">
        <x:f>IF('채점'!$C22="결시","결시",IF('채점'!I$45&lt;&gt;"등록","정답 미등록",IF('채점'!I22="","미응답",IF(NOT(ISNUMBER('채점'!I22)),"잘못된 입력",IF(OR('채점'!I22&lt;1,'채점'!I22&gt;4,MOD('채점'!I22,1)&lt;&gt;0),"잘못된 입력",IF('채점'!I22='채점'!I$8,"정답","오답"))))))</x:f>
        <x:v>오답</x:v>
      </x:c>
      <x:c r="J20" s="2" t="str">
        <x:f>IF('채점'!$C22="결시","결시",IF('채점'!J$45&lt;&gt;"등록","정답 미등록",IF('채점'!J22="","미응답",IF(NOT(ISNUMBER('채점'!J22)),"잘못된 입력",IF(OR('채점'!J22&lt;1,'채점'!J22&gt;4,MOD('채점'!J22,1)&lt;&gt;0),"잘못된 입력",IF('채점'!J22='채점'!J$8,"정답","오답"))))))</x:f>
        <x:v>정답</x:v>
      </x:c>
      <x:c r="K20" s="2" t="str">
        <x:f>IF('채점'!$C22="결시","결시",IF('채점'!K$45&lt;&gt;"등록","정답 미등록",IF('채점'!K22="","미응답",IF(NOT(ISNUMBER('채점'!K22)),"잘못된 입력",IF(OR('채점'!K22&lt;1,'채점'!K22&gt;4,MOD('채점'!K22,1)&lt;&gt;0),"잘못된 입력",IF('채점'!K22='채점'!K$8,"정답","오답"))))))</x:f>
        <x:v>정답</x:v>
      </x:c>
      <x:c r="L20" s="2" t="str">
        <x:f>IF('채점'!$C22="결시","결시",IF('채점'!L$45&lt;&gt;"등록","정답 미등록",IF('채점'!L22="","미응답",IF(NOT(ISNUMBER('채점'!L22)),"잘못된 입력",IF(OR('채점'!L22&lt;1,'채점'!L22&gt;4,MOD('채점'!L22,1)&lt;&gt;0),"잘못된 입력",IF('채점'!L22='채점'!L$8,"정답","오답"))))))</x:f>
        <x:v>오답</x:v>
      </x:c>
      <x:c r="M20" s="2" t="str">
        <x:f>IF('채점'!$C22="결시","결시",IF('채점'!M$45&lt;&gt;"등록","정답 미등록",IF('채점'!M22="","미응답",IF(NOT(ISNUMBER('채점'!M22)),"잘못된 입력",IF(OR('채점'!M22&lt;1,'채점'!M22&gt;4,MOD('채점'!M22,1)&lt;&gt;0),"잘못된 입력",IF('채점'!M22='채점'!M$8,"정답","오답"))))))</x:f>
        <x:v>오답</x:v>
      </x:c>
      <x:c r="N20" s="2" t="str">
        <x:f>IF('채점'!$C22="결시","결시",IF('채점'!N$45&lt;&gt;"등록","정답 미등록",IF('채점'!N22="","미응답",IF(NOT(ISNUMBER('채점'!N22)),"잘못된 입력",IF(OR('채점'!N22&lt;1,'채점'!N22&gt;4,MOD('채점'!N22,1)&lt;&gt;0),"잘못된 입력",IF('채점'!N22='채점'!N$8,"정답","오답"))))))</x:f>
        <x:v>정답</x:v>
      </x:c>
      <x:c r="O20" s="2" t="str">
        <x:f>IF('채점'!$C22="결시","결시",IF('채점'!O$45&lt;&gt;"등록","정답 미등록",IF('채점'!O22="","미응답",IF(NOT(ISNUMBER('채점'!O22)),"잘못된 입력",IF(OR('채점'!O22&lt;1,'채점'!O22&gt;4,MOD('채점'!O22,1)&lt;&gt;0),"잘못된 입력",IF('채점'!O22='채점'!O$8,"정답","오답"))))))</x:f>
        <x:v>오답</x:v>
      </x:c>
      <x:c r="P20" s="2" t="str">
        <x:f>IF('채점'!$C22="결시","결시",IF('채점'!P$45&lt;&gt;"등록","정답 미등록",IF('채점'!P22="","미응답",IF(NOT(ISNUMBER('채점'!P22)),"잘못된 입력",IF(OR('채점'!P22&lt;1,'채점'!P22&gt;4,MOD('채점'!P22,1)&lt;&gt;0),"잘못된 입력",IF('채점'!P22='채점'!P$8,"정답","오답"))))))</x:f>
        <x:v>오답</x:v>
      </x:c>
      <x:c r="Q20" s="2" t="str">
        <x:f>IF('채점'!$C22="결시","결시",IF('채점'!Q$45&lt;&gt;"등록","정답 미등록",IF('채점'!Q22="","미응답",IF(NOT(ISNUMBER('채점'!Q22)),"잘못된 입력",IF(OR('채점'!Q22&lt;1,'채점'!Q22&gt;4,MOD('채점'!Q22,1)&lt;&gt;0),"잘못된 입력",IF('채점'!Q22='채점'!Q$8,"정답","오답"))))))</x:f>
        <x:v>정답</x:v>
      </x:c>
      <x:c r="R20" s="2" t="str">
        <x:f>IF('채점'!$C22="결시","결시",IF('채점'!R$45&lt;&gt;"등록","정답 미등록",IF('채점'!R22="","미응답",IF(NOT(ISNUMBER('채점'!R22)),"잘못된 입력",IF(OR('채점'!R22&lt;1,'채점'!R22&gt;4,MOD('채점'!R22,1)&lt;&gt;0),"잘못된 입력",IF('채점'!R22='채점'!R$8,"정답","오답"))))))</x:f>
        <x:v>정답</x:v>
      </x:c>
      <x:c r="S20" s="2" t="str">
        <x:f>IF('채점'!$C22="결시","결시",IF('채점'!S$45&lt;&gt;"등록","정답 미등록",IF('채점'!S22="","미응답",IF(NOT(ISNUMBER('채점'!S22)),"잘못된 입력",IF(OR('채점'!S22&lt;1,'채점'!S22&gt;4,MOD('채점'!S22,1)&lt;&gt;0),"잘못된 입력",IF('채점'!S22='채점'!S$8,"정답","오답"))))))</x:f>
        <x:v>오답</x:v>
      </x:c>
      <x:c r="T20" s="2" t="str">
        <x:f>IF('채점'!$C22="결시","결시",IF('채점'!T$45&lt;&gt;"등록","정답 미등록",IF('채점'!T22="","미응답",IF(NOT(ISNUMBER('채점'!T22)),"잘못된 입력",IF(OR('채점'!T22&lt;1,'채점'!T22&gt;4,MOD('채점'!T22,1)&lt;&gt;0),"잘못된 입력",IF('채점'!T22='채점'!T$8,"정답","오답"))))))</x:f>
        <x:v>정답</x:v>
      </x:c>
      <x:c r="U20" s="2" t="str">
        <x:f>IF('채점'!$C22="결시","결시",IF('채점'!U$45&lt;&gt;"등록","정답 미등록",IF('채점'!U22="","미응답",IF(NOT(ISNUMBER('채점'!U22)),"잘못된 입력",IF(OR('채점'!U22&lt;1,'채점'!U22&gt;4,MOD('채점'!U22,1)&lt;&gt;0),"잘못된 입력",IF('채점'!U22='채점'!U$8,"정답","오답"))))))</x:f>
        <x:v>정답</x:v>
      </x:c>
      <x:c r="V20" s="2" t="str">
        <x:f>IF('채점'!$C22="결시","결시",IF('채점'!V$45&lt;&gt;"등록","정답 미등록",IF('채점'!V22="","미응답",IF(NOT(ISNUMBER('채점'!V22)),"잘못된 입력",IF(OR('채점'!V22&lt;1,'채점'!V22&gt;4,MOD('채점'!V22,1)&lt;&gt;0),"잘못된 입력",IF('채점'!V22='채점'!V$8,"정답","오답"))))))</x:f>
        <x:v>오답</x:v>
      </x:c>
      <x:c r="W20" s="2" t="str">
        <x:f>IF('채점'!$C22="결시","결시",IF('채점'!W$45&lt;&gt;"등록","정답 미등록",IF('채점'!W22="","미응답",IF(NOT(ISNUMBER('채점'!W22)),"잘못된 입력",IF(OR('채점'!W22&lt;1,'채점'!W22&gt;4,MOD('채점'!W22,1)&lt;&gt;0),"잘못된 입력",IF('채점'!W22='채점'!W$8,"정답","오답"))))))</x:f>
        <x:v>오답</x:v>
      </x:c>
      <x:c r="X20" s="2" t="str">
        <x:f>IF('채점'!$C22="결시","결시",IF('채점'!X$45&lt;&gt;"등록","정답 미등록",IF('채점'!X22="","미응답",IF(NOT(ISNUMBER('채점'!X22)),"잘못된 입력",IF(OR('채점'!X22&lt;1,'채점'!X22&gt;4,MOD('채점'!X22,1)&lt;&gt;0),"잘못된 입력",IF('채점'!X22='채점'!X$8,"정답","오답"))))))</x:f>
        <x:v>정답</x:v>
      </x:c>
      <x:c r="Y20" s="2" t="str">
        <x:f>IF('채점'!$C22="결시","결시",IF('채점'!Y$45&lt;&gt;"등록","정답 미등록",IF('채점'!Y22="","미응답",IF(NOT(ISNUMBER('채점'!Y22)),"잘못된 입력",IF(OR('채점'!Y22&lt;1,'채점'!Y22&gt;4,MOD('채점'!Y22,1)&lt;&gt;0),"잘못된 입력",IF('채점'!Y22='채점'!Y$8,"정답","오답"))))))</x:f>
        <x:v>오답</x:v>
      </x:c>
      <x:c r="Z20" s="2" t="str">
        <x:f>IF('채점'!$C22="결시","결시",IF('채점'!Z$45&lt;&gt;"등록","정답 미등록",IF('채점'!Z22="","미응답",IF(NOT(ISNUMBER('채점'!Z22)),"잘못된 입력",IF(OR('채점'!Z22&lt;1,'채점'!Z22&gt;4,MOD('채점'!Z22,1)&lt;&gt;0),"잘못된 입력",IF('채점'!Z22='채점'!Z$8,"정답","오답"))))))</x:f>
        <x:v>오답</x:v>
      </x:c>
      <x:c r="AA20" s="2" t="str">
        <x:f>IF('채점'!$C22="결시","결시",IF('채점'!AA$45&lt;&gt;"등록","정답 미등록",IF('채점'!AA22="","미응답",IF(NOT(ISNUMBER('채점'!AA22)),"잘못된 입력",IF(OR('채점'!AA22&lt;1,'채점'!AA22&gt;4,MOD('채점'!AA22,1)&lt;&gt;0),"잘못된 입력",IF('채점'!AA22='채점'!AA$8,"정답","오답"))))))</x:f>
        <x:v>정답</x:v>
      </x:c>
      <x:c r="AB20" s="2" t="str">
        <x:f>IF('채점'!$C22="결시","결시",IF('채점'!AB$45&lt;&gt;"등록","정답 미등록",IF('채점'!AB22="","미응답",IF(NOT(ISNUMBER('채점'!AB22)),"잘못된 입력",IF(OR('채점'!AB22&lt;1,'채점'!AB22&gt;4,MOD('채점'!AB22,1)&lt;&gt;0),"잘못된 입력",IF('채점'!AB22='채점'!AB$8,"정답","오답"))))))</x:f>
        <x:v>정답</x:v>
      </x:c>
      <x:c r="AC20" s="2" t="str">
        <x:f>IF('채점'!$C22="결시","결시",IF('채점'!AC$45&lt;&gt;"등록","정답 미등록",IF('채점'!AC22="","미응답",IF(NOT(ISNUMBER('채점'!AC22)),"잘못된 입력",IF(OR('채점'!AC22&lt;1,'채점'!AC22&gt;4,MOD('채점'!AC22,1)&lt;&gt;0),"잘못된 입력",IF('채점'!AC22='채점'!AC$8,"정답","오답"))))))</x:f>
        <x:v>오답</x:v>
      </x:c>
      <x:c r="AD20" s="2" t="str">
        <x:f>IF('채점'!$C22="결시","결시",IF('채점'!AD$45&lt;&gt;"등록","정답 미등록",IF('채점'!AD22="","미응답",IF(NOT(ISNUMBER('채점'!AD22)),"잘못된 입력",IF(OR('채점'!AD22&lt;1,'채점'!AD22&gt;4,MOD('채점'!AD22,1)&lt;&gt;0),"잘못된 입력",IF('채점'!AD22='채점'!AD$8,"정답","오답"))))))</x:f>
        <x:v>정답</x:v>
      </x:c>
      <x:c r="AE20" s="2" t="str">
        <x:f>IF('채점'!$C22="결시","결시",IF('채점'!AE$45&lt;&gt;"등록","정답 미등록",IF('채점'!AE22="","미응답",IF(NOT(ISNUMBER('채점'!AE22)),"잘못된 입력",IF(OR('채점'!AE22&lt;1,'채점'!AE22&gt;4,MOD('채점'!AE22,1)&lt;&gt;0),"잘못된 입력",IF('채점'!AE22='채점'!AE$8,"정답","오답"))))))</x:f>
        <x:v>정답</x:v>
      </x:c>
      <x:c r="AF20" s="2" t="str">
        <x:f>IF('채점'!$C22="결시","결시",IF('채점'!AF$45&lt;&gt;"등록","정답 미등록",IF('채점'!AF22="","미응답",IF(NOT(ISNUMBER('채점'!AF22)),"잘못된 입력",IF(OR('채점'!AF22&lt;1,'채점'!AF22&gt;4,MOD('채점'!AF22,1)&lt;&gt;0),"잘못된 입력",IF('채점'!AF22='채점'!AF$8,"정답","오답"))))))</x:f>
        <x:v>오답</x:v>
      </x:c>
      <x:c r="AG20" s="2" t="str">
        <x:f>IF('채점'!$C22="결시","결시",IF('채점'!AG$45&lt;&gt;"등록","정답 미등록",IF('채점'!AG22="","미응답",IF(NOT(ISNUMBER('채점'!AG22)),"잘못된 입력",IF(OR('채점'!AG22&lt;1,'채점'!AG22&gt;4,MOD('채점'!AG22,1)&lt;&gt;0),"잘못된 입력",IF('채점'!AG22='채점'!AG$8,"정답","오답"))))))</x:f>
        <x:v>오답</x:v>
      </x:c>
      <x:c r="AH20" s="2" t="str">
        <x:f>IF('채점'!$C22="결시","결시",IF('채점'!AH$45&lt;&gt;"등록","정답 미등록",IF('채점'!AH22="","미응답",IF(NOT(ISNUMBER('채점'!AH22)),"잘못된 입력",IF(OR('채점'!AH22&lt;1,'채점'!AH22&gt;4,MOD('채점'!AH22,1)&lt;&gt;0),"잘못된 입력",IF('채점'!AH22='채점'!AH$8,"정답","오답"))))))</x:f>
        <x:v>정답</x:v>
      </x:c>
      <x:c r="AI20" s="2" t="str">
        <x:f>IF('채점'!$C22="결시","결시",IF('채점'!AI$45&lt;&gt;"등록","정답 미등록",IF('채점'!AI22="","미응답",IF(NOT(ISNUMBER('채점'!AI22)),"잘못된 입력",IF(OR('채점'!AI22&lt;1,'채점'!AI22&gt;4,MOD('채점'!AI22,1)&lt;&gt;0),"잘못된 입력",IF('채점'!AI22='채점'!AI$8,"정답","오답"))))))</x:f>
        <x:v>오답</x:v>
      </x:c>
      <x:c r="AJ20" s="2" t="str">
        <x:f>IF('채점'!$C22="결시","결시",IF('채점'!AJ$45&lt;&gt;"등록","정답 미등록",IF('채점'!AJ22="","미응답",IF(NOT(ISNUMBER('채점'!AJ22)),"잘못된 입력",IF(OR('채점'!AJ22&lt;1,'채점'!AJ22&gt;4,MOD('채점'!AJ22,1)&lt;&gt;0),"잘못된 입력",IF('채점'!AJ22='채점'!AJ$8,"정답","오답"))))))</x:f>
        <x:v>오답</x:v>
      </x:c>
      <x:c r="AK20" s="2" t="str">
        <x:f>IF('채점'!$C22="결시","결시",IF('채점'!AK$45&lt;&gt;"등록","정답 미등록",IF('채점'!AK22="","미응답",IF(NOT(ISNUMBER('채점'!AK22)),"잘못된 입력",IF(OR('채점'!AK22&lt;1,'채점'!AK22&gt;4,MOD('채점'!AK22,1)&lt;&gt;0),"잘못된 입력",IF('채점'!AK22='채점'!AK$8,"정답","오답"))))))</x:f>
        <x:v>정답</x:v>
      </x:c>
      <x:c r="AL20" s="2" t="str">
        <x:f>IF('채점'!$C22="결시","결시",IF('채점'!AL$45&lt;&gt;"등록","정답 미등록",IF('채점'!AL22="","미응답",IF(NOT(ISNUMBER('채점'!AL22)),"잘못된 입력",IF(OR('채점'!AL22&lt;1,'채점'!AL22&gt;4,MOD('채점'!AL22,1)&lt;&gt;0),"잘못된 입력",IF('채점'!AL22='채점'!AL$8,"정답","오답"))))))</x:f>
        <x:v>정답</x:v>
      </x:c>
      <x:c r="AM20" s="2" t="str">
        <x:f>IF('채점'!$C22="결시","결시",IF('채점'!AM$45&lt;&gt;"등록","정답 미등록",IF('채점'!AM22="","미응답",IF(NOT(ISNUMBER('채점'!AM22)),"잘못된 입력",IF(OR('채점'!AM22&lt;1,'채점'!AM22&gt;4,MOD('채점'!AM22,1)&lt;&gt;0),"잘못된 입력",IF('채점'!AM22='채점'!AM$8,"정답","오답"))))))</x:f>
        <x:v>오답</x:v>
      </x:c>
      <x:c r="AN20" s="2" t="str">
        <x:f>IF('채점'!$C22="결시","결시",IF('채점'!AN$45&lt;&gt;"등록","정답 미등록",IF('채점'!AN22="","미응답",IF(NOT(ISNUMBER('채점'!AN22)),"잘못된 입력",IF(OR('채점'!AN22&lt;1,'채점'!AN22&gt;4,MOD('채점'!AN22,1)&lt;&gt;0),"잘못된 입력",IF('채점'!AN22='채점'!AN$8,"정답","오답"))))))</x:f>
        <x:v>정답</x:v>
      </x:c>
      <x:c r="AO20" s="2" t="str">
        <x:f>IF('채점'!$C22="결시","결시",IF('채점'!AO$45&lt;&gt;"등록","정답 미등록",IF('채점'!AO22="","미응답",IF(NOT(ISNUMBER('채점'!AO22)),"잘못된 입력",IF(OR('채점'!AO22&lt;1,'채점'!AO22&gt;4,MOD('채점'!AO22,1)&lt;&gt;0),"잘못된 입력",IF('채점'!AO22='채점'!AO$8,"정답","오답"))))))</x:f>
        <x:v>정답</x:v>
      </x:c>
      <x:c r="AP20" s="2" t="str">
        <x:f>IF('채점'!$C22="결시","결시",IF('채점'!AP$45&lt;&gt;"등록","정답 미등록",IF('채점'!AP22="","미응답",IF(NOT(ISNUMBER('채점'!AP22)),"잘못된 입력",IF(OR('채점'!AP22&lt;1,'채점'!AP22&gt;4,MOD('채점'!AP22,1)&lt;&gt;0),"잘못된 입력",IF('채점'!AP22='채점'!AP$8,"정답","오답"))))))</x:f>
        <x:v>오답</x:v>
      </x:c>
      <x:c r="AQ20" s="2" t="str">
        <x:f>IF('채점'!$C22="결시","결시",IF('채점'!AQ$45&lt;&gt;"등록","정답 미등록",IF('채점'!AQ22="","미응답",IF(NOT(ISNUMBER('채점'!AQ22)),"잘못된 입력",IF(OR('채점'!AQ22&lt;1,'채점'!AQ22&gt;4,MOD('채점'!AQ22,1)&lt;&gt;0),"잘못된 입력",IF('채점'!AQ22='채점'!AQ$8,"정답","오답"))))))</x:f>
        <x:v>오답</x:v>
      </x:c>
    </x:row>
    <x:row r="21" ht="25" customHeight="1">
      <x:c r="A21" s="2" t="str">
        <x:f>'채점'!A23</x:f>
        <x:v>S014</x:v>
      </x:c>
      <x:c r="B21" s="2" t="str">
        <x:f>'채점'!C23</x:f>
        <x:v>응시</x:v>
      </x:c>
      <x:c r="C21" s="2"/>
      <x:c r="D21" s="2" t="str">
        <x:f>IF('채점'!$C23="결시","결시",IF('채점'!D$45&lt;&gt;"등록","정답 미등록",IF('채점'!D23="","미응답",IF(NOT(ISNUMBER('채점'!D23)),"잘못된 입력",IF(OR('채점'!D23&lt;1,'채점'!D23&gt;4,MOD('채점'!D23,1)&lt;&gt;0),"잘못된 입력",IF('채점'!D23='채점'!D$8,"정답","오답"))))))</x:f>
        <x:v>정답</x:v>
      </x:c>
      <x:c r="E21" s="2" t="str">
        <x:f>IF('채점'!$C23="결시","결시",IF('채점'!E$45&lt;&gt;"등록","정답 미등록",IF('채점'!E23="","미응답",IF(NOT(ISNUMBER('채점'!E23)),"잘못된 입력",IF(OR('채점'!E23&lt;1,'채점'!E23&gt;4,MOD('채점'!E23,1)&lt;&gt;0),"잘못된 입력",IF('채점'!E23='채점'!E$8,"정답","오답"))))))</x:f>
        <x:v>정답</x:v>
      </x:c>
      <x:c r="F21" s="2" t="str">
        <x:f>IF('채점'!$C23="결시","결시",IF('채점'!F$45&lt;&gt;"등록","정답 미등록",IF('채점'!F23="","미응답",IF(NOT(ISNUMBER('채점'!F23)),"잘못된 입력",IF(OR('채점'!F23&lt;1,'채점'!F23&gt;4,MOD('채점'!F23,1)&lt;&gt;0),"잘못된 입력",IF('채점'!F23='채점'!F$8,"정답","오답"))))))</x:f>
        <x:v>오답</x:v>
      </x:c>
      <x:c r="G21" s="2" t="str">
        <x:f>IF('채점'!$C23="결시","결시",IF('채점'!G$45&lt;&gt;"등록","정답 미등록",IF('채점'!G23="","미응답",IF(NOT(ISNUMBER('채점'!G23)),"잘못된 입력",IF(OR('채점'!G23&lt;1,'채점'!G23&gt;4,MOD('채점'!G23,1)&lt;&gt;0),"잘못된 입력",IF('채점'!G23='채점'!G$8,"정답","오답"))))))</x:f>
        <x:v>정답</x:v>
      </x:c>
      <x:c r="H21" s="2" t="str">
        <x:f>IF('채점'!$C23="결시","결시",IF('채점'!H$45&lt;&gt;"등록","정답 미등록",IF('채점'!H23="","미응답",IF(NOT(ISNUMBER('채점'!H23)),"잘못된 입력",IF(OR('채점'!H23&lt;1,'채점'!H23&gt;4,MOD('채점'!H23,1)&lt;&gt;0),"잘못된 입력",IF('채점'!H23='채점'!H$8,"정답","오답"))))))</x:f>
        <x:v>정답</x:v>
      </x:c>
      <x:c r="I21" s="2" t="str">
        <x:f>IF('채점'!$C23="결시","결시",IF('채점'!I$45&lt;&gt;"등록","정답 미등록",IF('채점'!I23="","미응답",IF(NOT(ISNUMBER('채점'!I23)),"잘못된 입력",IF(OR('채점'!I23&lt;1,'채점'!I23&gt;4,MOD('채점'!I23,1)&lt;&gt;0),"잘못된 입력",IF('채점'!I23='채점'!I$8,"정답","오답"))))))</x:f>
        <x:v>오답</x:v>
      </x:c>
      <x:c r="J21" s="2" t="str">
        <x:f>IF('채점'!$C23="결시","결시",IF('채점'!J$45&lt;&gt;"등록","정답 미등록",IF('채점'!J23="","미응답",IF(NOT(ISNUMBER('채점'!J23)),"잘못된 입력",IF(OR('채점'!J23&lt;1,'채점'!J23&gt;4,MOD('채점'!J23,1)&lt;&gt;0),"잘못된 입력",IF('채점'!J23='채점'!J$8,"정답","오답"))))))</x:f>
        <x:v>정답</x:v>
      </x:c>
      <x:c r="K21" s="2" t="str">
        <x:f>IF('채점'!$C23="결시","결시",IF('채점'!K$45&lt;&gt;"등록","정답 미등록",IF('채점'!K23="","미응답",IF(NOT(ISNUMBER('채점'!K23)),"잘못된 입력",IF(OR('채점'!K23&lt;1,'채점'!K23&gt;4,MOD('채점'!K23,1)&lt;&gt;0),"잘못된 입력",IF('채점'!K23='채점'!K$8,"정답","오답"))))))</x:f>
        <x:v>정답</x:v>
      </x:c>
      <x:c r="L21" s="2" t="str">
        <x:f>IF('채점'!$C23="결시","결시",IF('채점'!L$45&lt;&gt;"등록","정답 미등록",IF('채점'!L23="","미응답",IF(NOT(ISNUMBER('채점'!L23)),"잘못된 입력",IF(OR('채점'!L23&lt;1,'채점'!L23&gt;4,MOD('채점'!L23,1)&lt;&gt;0),"잘못된 입력",IF('채점'!L23='채점'!L$8,"정답","오답"))))))</x:f>
        <x:v>오답</x:v>
      </x:c>
      <x:c r="M21" s="2" t="str">
        <x:f>IF('채점'!$C23="결시","결시",IF('채점'!M$45&lt;&gt;"등록","정답 미등록",IF('채점'!M23="","미응답",IF(NOT(ISNUMBER('채점'!M23)),"잘못된 입력",IF(OR('채점'!M23&lt;1,'채점'!M23&gt;4,MOD('채점'!M23,1)&lt;&gt;0),"잘못된 입력",IF('채점'!M23='채점'!M$8,"정답","오답"))))))</x:f>
        <x:v>오답</x:v>
      </x:c>
      <x:c r="N21" s="2" t="str">
        <x:f>IF('채점'!$C23="결시","결시",IF('채점'!N$45&lt;&gt;"등록","정답 미등록",IF('채점'!N23="","미응답",IF(NOT(ISNUMBER('채점'!N23)),"잘못된 입력",IF(OR('채점'!N23&lt;1,'채점'!N23&gt;4,MOD('채점'!N23,1)&lt;&gt;0),"잘못된 입력",IF('채점'!N23='채점'!N$8,"정답","오답"))))))</x:f>
        <x:v>정답</x:v>
      </x:c>
      <x:c r="O21" s="2" t="str">
        <x:f>IF('채점'!$C23="결시","결시",IF('채점'!O$45&lt;&gt;"등록","정답 미등록",IF('채점'!O23="","미응답",IF(NOT(ISNUMBER('채점'!O23)),"잘못된 입력",IF(OR('채점'!O23&lt;1,'채점'!O23&gt;4,MOD('채점'!O23,1)&lt;&gt;0),"잘못된 입력",IF('채점'!O23='채점'!O$8,"정답","오답"))))))</x:f>
        <x:v>정답</x:v>
      </x:c>
      <x:c r="P21" s="2" t="str">
        <x:f>IF('채점'!$C23="결시","결시",IF('채점'!P$45&lt;&gt;"등록","정답 미등록",IF('채점'!P23="","미응답",IF(NOT(ISNUMBER('채점'!P23)),"잘못된 입력",IF(OR('채점'!P23&lt;1,'채점'!P23&gt;4,MOD('채점'!P23,1)&lt;&gt;0),"잘못된 입력",IF('채점'!P23='채점'!P$8,"정답","오답"))))))</x:f>
        <x:v>오답</x:v>
      </x:c>
      <x:c r="Q21" s="2" t="str">
        <x:f>IF('채점'!$C23="결시","결시",IF('채점'!Q$45&lt;&gt;"등록","정답 미등록",IF('채점'!Q23="","미응답",IF(NOT(ISNUMBER('채점'!Q23)),"잘못된 입력",IF(OR('채점'!Q23&lt;1,'채점'!Q23&gt;4,MOD('채점'!Q23,1)&lt;&gt;0),"잘못된 입력",IF('채점'!Q23='채점'!Q$8,"정답","오답"))))))</x:f>
        <x:v>정답</x:v>
      </x:c>
      <x:c r="R21" s="2" t="str">
        <x:f>IF('채점'!$C23="결시","결시",IF('채점'!R$45&lt;&gt;"등록","정답 미등록",IF('채점'!R23="","미응답",IF(NOT(ISNUMBER('채점'!R23)),"잘못된 입력",IF(OR('채점'!R23&lt;1,'채점'!R23&gt;4,MOD('채점'!R23,1)&lt;&gt;0),"잘못된 입력",IF('채점'!R23='채점'!R$8,"정답","오답"))))))</x:f>
        <x:v>정답</x:v>
      </x:c>
      <x:c r="S21" s="2" t="str">
        <x:f>IF('채점'!$C23="결시","결시",IF('채점'!S$45&lt;&gt;"등록","정답 미등록",IF('채점'!S23="","미응답",IF(NOT(ISNUMBER('채점'!S23)),"잘못된 입력",IF(OR('채점'!S23&lt;1,'채점'!S23&gt;4,MOD('채점'!S23,1)&lt;&gt;0),"잘못된 입력",IF('채점'!S23='채점'!S$8,"정답","오답"))))))</x:f>
        <x:v>오답</x:v>
      </x:c>
      <x:c r="T21" s="2" t="str">
        <x:f>IF('채점'!$C23="결시","결시",IF('채점'!T$45&lt;&gt;"등록","정답 미등록",IF('채점'!T23="","미응답",IF(NOT(ISNUMBER('채점'!T23)),"잘못된 입력",IF(OR('채점'!T23&lt;1,'채점'!T23&gt;4,MOD('채점'!T23,1)&lt;&gt;0),"잘못된 입력",IF('채점'!T23='채점'!T$8,"정답","오답"))))))</x:f>
        <x:v>정답</x:v>
      </x:c>
      <x:c r="U21" s="2" t="str">
        <x:f>IF('채점'!$C23="결시","결시",IF('채점'!U$45&lt;&gt;"등록","정답 미등록",IF('채점'!U23="","미응답",IF(NOT(ISNUMBER('채점'!U23)),"잘못된 입력",IF(OR('채점'!U23&lt;1,'채점'!U23&gt;4,MOD('채점'!U23,1)&lt;&gt;0),"잘못된 입력",IF('채점'!U23='채점'!U$8,"정답","오답"))))))</x:f>
        <x:v>정답</x:v>
      </x:c>
      <x:c r="V21" s="2" t="str">
        <x:f>IF('채점'!$C23="결시","결시",IF('채점'!V$45&lt;&gt;"등록","정답 미등록",IF('채점'!V23="","미응답",IF(NOT(ISNUMBER('채점'!V23)),"잘못된 입력",IF(OR('채점'!V23&lt;1,'채점'!V23&gt;4,MOD('채점'!V23,1)&lt;&gt;0),"잘못된 입력",IF('채점'!V23='채점'!V$8,"정답","오답"))))))</x:f>
        <x:v>오답</x:v>
      </x:c>
      <x:c r="W21" s="2" t="str">
        <x:f>IF('채점'!$C23="결시","결시",IF('채점'!W$45&lt;&gt;"등록","정답 미등록",IF('채점'!W23="","미응답",IF(NOT(ISNUMBER('채점'!W23)),"잘못된 입력",IF(OR('채점'!W23&lt;1,'채점'!W23&gt;4,MOD('채점'!W23,1)&lt;&gt;0),"잘못된 입력",IF('채점'!W23='채점'!W$8,"정답","오답"))))))</x:f>
        <x:v>오답</x:v>
      </x:c>
      <x:c r="X21" s="2" t="str">
        <x:f>IF('채점'!$C23="결시","결시",IF('채점'!X$45&lt;&gt;"등록","정답 미등록",IF('채점'!X23="","미응답",IF(NOT(ISNUMBER('채점'!X23)),"잘못된 입력",IF(OR('채점'!X23&lt;1,'채점'!X23&gt;4,MOD('채점'!X23,1)&lt;&gt;0),"잘못된 입력",IF('채점'!X23='채점'!X$8,"정답","오답"))))))</x:f>
        <x:v>정답</x:v>
      </x:c>
      <x:c r="Y21" s="2" t="str">
        <x:f>IF('채점'!$C23="결시","결시",IF('채점'!Y$45&lt;&gt;"등록","정답 미등록",IF('채점'!Y23="","미응답",IF(NOT(ISNUMBER('채점'!Y23)),"잘못된 입력",IF(OR('채점'!Y23&lt;1,'채점'!Y23&gt;4,MOD('채점'!Y23,1)&lt;&gt;0),"잘못된 입력",IF('채점'!Y23='채점'!Y$8,"정답","오답"))))))</x:f>
        <x:v>정답</x:v>
      </x:c>
      <x:c r="Z21" s="2" t="str">
        <x:f>IF('채점'!$C23="결시","결시",IF('채점'!Z$45&lt;&gt;"등록","정답 미등록",IF('채점'!Z23="","미응답",IF(NOT(ISNUMBER('채점'!Z23)),"잘못된 입력",IF(OR('채점'!Z23&lt;1,'채점'!Z23&gt;4,MOD('채점'!Z23,1)&lt;&gt;0),"잘못된 입력",IF('채점'!Z23='채점'!Z$8,"정답","오답"))))))</x:f>
        <x:v>오답</x:v>
      </x:c>
      <x:c r="AA21" s="2" t="str">
        <x:f>IF('채점'!$C23="결시","결시",IF('채점'!AA$45&lt;&gt;"등록","정답 미등록",IF('채점'!AA23="","미응답",IF(NOT(ISNUMBER('채점'!AA23)),"잘못된 입력",IF(OR('채점'!AA23&lt;1,'채점'!AA23&gt;4,MOD('채점'!AA23,1)&lt;&gt;0),"잘못된 입력",IF('채점'!AA23='채점'!AA$8,"정답","오답"))))))</x:f>
        <x:v>정답</x:v>
      </x:c>
      <x:c r="AB21" s="2" t="str">
        <x:f>IF('채점'!$C23="결시","결시",IF('채점'!AB$45&lt;&gt;"등록","정답 미등록",IF('채점'!AB23="","미응답",IF(NOT(ISNUMBER('채점'!AB23)),"잘못된 입력",IF(OR('채점'!AB23&lt;1,'채점'!AB23&gt;4,MOD('채점'!AB23,1)&lt;&gt;0),"잘못된 입력",IF('채점'!AB23='채점'!AB$8,"정답","오답"))))))</x:f>
        <x:v>정답</x:v>
      </x:c>
      <x:c r="AC21" s="2" t="str">
        <x:f>IF('채점'!$C23="결시","결시",IF('채점'!AC$45&lt;&gt;"등록","정답 미등록",IF('채점'!AC23="","미응답",IF(NOT(ISNUMBER('채점'!AC23)),"잘못된 입력",IF(OR('채점'!AC23&lt;1,'채점'!AC23&gt;4,MOD('채점'!AC23,1)&lt;&gt;0),"잘못된 입력",IF('채점'!AC23='채점'!AC$8,"정답","오답"))))))</x:f>
        <x:v>오답</x:v>
      </x:c>
      <x:c r="AD21" s="2" t="str">
        <x:f>IF('채점'!$C23="결시","결시",IF('채점'!AD$45&lt;&gt;"등록","정답 미등록",IF('채점'!AD23="","미응답",IF(NOT(ISNUMBER('채점'!AD23)),"잘못된 입력",IF(OR('채점'!AD23&lt;1,'채점'!AD23&gt;4,MOD('채점'!AD23,1)&lt;&gt;0),"잘못된 입력",IF('채점'!AD23='채점'!AD$8,"정답","오답"))))))</x:f>
        <x:v>정답</x:v>
      </x:c>
      <x:c r="AE21" s="2" t="str">
        <x:f>IF('채점'!$C23="결시","결시",IF('채점'!AE$45&lt;&gt;"등록","정답 미등록",IF('채점'!AE23="","미응답",IF(NOT(ISNUMBER('채점'!AE23)),"잘못된 입력",IF(OR('채점'!AE23&lt;1,'채점'!AE23&gt;4,MOD('채점'!AE23,1)&lt;&gt;0),"잘못된 입력",IF('채점'!AE23='채점'!AE$8,"정답","오답"))))))</x:f>
        <x:v>정답</x:v>
      </x:c>
      <x:c r="AF21" s="2" t="str">
        <x:f>IF('채점'!$C23="결시","결시",IF('채점'!AF$45&lt;&gt;"등록","정답 미등록",IF('채점'!AF23="","미응답",IF(NOT(ISNUMBER('채점'!AF23)),"잘못된 입력",IF(OR('채점'!AF23&lt;1,'채점'!AF23&gt;4,MOD('채점'!AF23,1)&lt;&gt;0),"잘못된 입력",IF('채점'!AF23='채점'!AF$8,"정답","오답"))))))</x:f>
        <x:v>오답</x:v>
      </x:c>
      <x:c r="AG21" s="2" t="str">
        <x:f>IF('채점'!$C23="결시","결시",IF('채점'!AG$45&lt;&gt;"등록","정답 미등록",IF('채점'!AG23="","미응답",IF(NOT(ISNUMBER('채점'!AG23)),"잘못된 입력",IF(OR('채점'!AG23&lt;1,'채점'!AG23&gt;4,MOD('채점'!AG23,1)&lt;&gt;0),"잘못된 입력",IF('채점'!AG23='채점'!AG$8,"정답","오답"))))))</x:f>
        <x:v>오답</x:v>
      </x:c>
      <x:c r="AH21" s="2" t="str">
        <x:f>IF('채점'!$C23="결시","결시",IF('채점'!AH$45&lt;&gt;"등록","정답 미등록",IF('채점'!AH23="","미응답",IF(NOT(ISNUMBER('채점'!AH23)),"잘못된 입력",IF(OR('채점'!AH23&lt;1,'채점'!AH23&gt;4,MOD('채점'!AH23,1)&lt;&gt;0),"잘못된 입력",IF('채점'!AH23='채점'!AH$8,"정답","오답"))))))</x:f>
        <x:v>정답</x:v>
      </x:c>
      <x:c r="AI21" s="2" t="str">
        <x:f>IF('채점'!$C23="결시","결시",IF('채점'!AI$45&lt;&gt;"등록","정답 미등록",IF('채점'!AI23="","미응답",IF(NOT(ISNUMBER('채점'!AI23)),"잘못된 입력",IF(OR('채점'!AI23&lt;1,'채점'!AI23&gt;4,MOD('채점'!AI23,1)&lt;&gt;0),"잘못된 입력",IF('채점'!AI23='채점'!AI$8,"정답","오답"))))))</x:f>
        <x:v>정답</x:v>
      </x:c>
      <x:c r="AJ21" s="2" t="str">
        <x:f>IF('채점'!$C23="결시","결시",IF('채점'!AJ$45&lt;&gt;"등록","정답 미등록",IF('채점'!AJ23="","미응답",IF(NOT(ISNUMBER('채점'!AJ23)),"잘못된 입력",IF(OR('채점'!AJ23&lt;1,'채점'!AJ23&gt;4,MOD('채점'!AJ23,1)&lt;&gt;0),"잘못된 입력",IF('채점'!AJ23='채점'!AJ$8,"정답","오답"))))))</x:f>
        <x:v>오답</x:v>
      </x:c>
      <x:c r="AK21" s="2" t="str">
        <x:f>IF('채점'!$C23="결시","결시",IF('채점'!AK$45&lt;&gt;"등록","정답 미등록",IF('채점'!AK23="","미응답",IF(NOT(ISNUMBER('채점'!AK23)),"잘못된 입력",IF(OR('채점'!AK23&lt;1,'채점'!AK23&gt;4,MOD('채점'!AK23,1)&lt;&gt;0),"잘못된 입력",IF('채점'!AK23='채점'!AK$8,"정답","오답"))))))</x:f>
        <x:v>정답</x:v>
      </x:c>
      <x:c r="AL21" s="2" t="str">
        <x:f>IF('채점'!$C23="결시","결시",IF('채점'!AL$45&lt;&gt;"등록","정답 미등록",IF('채점'!AL23="","미응답",IF(NOT(ISNUMBER('채점'!AL23)),"잘못된 입력",IF(OR('채점'!AL23&lt;1,'채점'!AL23&gt;4,MOD('채점'!AL23,1)&lt;&gt;0),"잘못된 입력",IF('채점'!AL23='채점'!AL$8,"정답","오답"))))))</x:f>
        <x:v>정답</x:v>
      </x:c>
      <x:c r="AM21" s="2" t="str">
        <x:f>IF('채점'!$C23="결시","결시",IF('채점'!AM$45&lt;&gt;"등록","정답 미등록",IF('채점'!AM23="","미응답",IF(NOT(ISNUMBER('채점'!AM23)),"잘못된 입력",IF(OR('채점'!AM23&lt;1,'채점'!AM23&gt;4,MOD('채점'!AM23,1)&lt;&gt;0),"잘못된 입력",IF('채점'!AM23='채점'!AM$8,"정답","오답"))))))</x:f>
        <x:v>오답</x:v>
      </x:c>
      <x:c r="AN21" s="2" t="str">
        <x:f>IF('채점'!$C23="결시","결시",IF('채점'!AN$45&lt;&gt;"등록","정답 미등록",IF('채점'!AN23="","미응답",IF(NOT(ISNUMBER('채점'!AN23)),"잘못된 입력",IF(OR('채점'!AN23&lt;1,'채점'!AN23&gt;4,MOD('채점'!AN23,1)&lt;&gt;0),"잘못된 입력",IF('채점'!AN23='채점'!AN$8,"정답","오답"))))))</x:f>
        <x:v>정답</x:v>
      </x:c>
      <x:c r="AO21" s="2" t="str">
        <x:f>IF('채점'!$C23="결시","결시",IF('채점'!AO$45&lt;&gt;"등록","정답 미등록",IF('채점'!AO23="","미응답",IF(NOT(ISNUMBER('채점'!AO23)),"잘못된 입력",IF(OR('채점'!AO23&lt;1,'채점'!AO23&gt;4,MOD('채점'!AO23,1)&lt;&gt;0),"잘못된 입력",IF('채점'!AO23='채점'!AO$8,"정답","오답"))))))</x:f>
        <x:v>정답</x:v>
      </x:c>
      <x:c r="AP21" s="2" t="str">
        <x:f>IF('채점'!$C23="결시","결시",IF('채점'!AP$45&lt;&gt;"등록","정답 미등록",IF('채점'!AP23="","미응답",IF(NOT(ISNUMBER('채점'!AP23)),"잘못된 입력",IF(OR('채점'!AP23&lt;1,'채점'!AP23&gt;4,MOD('채점'!AP23,1)&lt;&gt;0),"잘못된 입력",IF('채점'!AP23='채점'!AP$8,"정답","오답"))))))</x:f>
        <x:v>오답</x:v>
      </x:c>
      <x:c r="AQ21" s="2" t="str">
        <x:f>IF('채점'!$C23="결시","결시",IF('채점'!AQ$45&lt;&gt;"등록","정답 미등록",IF('채점'!AQ23="","미응답",IF(NOT(ISNUMBER('채점'!AQ23)),"잘못된 입력",IF(OR('채점'!AQ23&lt;1,'채점'!AQ23&gt;4,MOD('채점'!AQ23,1)&lt;&gt;0),"잘못된 입력",IF('채점'!AQ23='채점'!AQ$8,"정답","오답"))))))</x:f>
        <x:v>오답</x:v>
      </x:c>
    </x:row>
    <x:row r="22" ht="25" customHeight="1">
      <x:c r="A22" s="2" t="str">
        <x:f>'채점'!A24</x:f>
        <x:v>S015</x:v>
      </x:c>
      <x:c r="B22" s="2" t="str">
        <x:f>'채점'!C24</x:f>
        <x:v>응시</x:v>
      </x:c>
      <x:c r="C22" s="2"/>
      <x:c r="D22" s="2" t="str">
        <x:f>IF('채점'!$C24="결시","결시",IF('채점'!D$45&lt;&gt;"등록","정답 미등록",IF('채점'!D24="","미응답",IF(NOT(ISNUMBER('채점'!D24)),"잘못된 입력",IF(OR('채점'!D24&lt;1,'채점'!D24&gt;4,MOD('채점'!D24,1)&lt;&gt;0),"잘못된 입력",IF('채점'!D24='채점'!D$8,"정답","오답"))))))</x:f>
        <x:v>정답</x:v>
      </x:c>
      <x:c r="E22" s="2" t="str">
        <x:f>IF('채점'!$C24="결시","결시",IF('채점'!E$45&lt;&gt;"등록","정답 미등록",IF('채점'!E24="","미응답",IF(NOT(ISNUMBER('채점'!E24)),"잘못된 입력",IF(OR('채점'!E24&lt;1,'채점'!E24&gt;4,MOD('채점'!E24,1)&lt;&gt;0),"잘못된 입력",IF('채점'!E24='채점'!E$8,"정답","오답"))))))</x:f>
        <x:v>정답</x:v>
      </x:c>
      <x:c r="F22" s="2" t="str">
        <x:f>IF('채점'!$C24="결시","결시",IF('채점'!F$45&lt;&gt;"등록","정답 미등록",IF('채점'!F24="","미응답",IF(NOT(ISNUMBER('채점'!F24)),"잘못된 입력",IF(OR('채점'!F24&lt;1,'채점'!F24&gt;4,MOD('채점'!F24,1)&lt;&gt;0),"잘못된 입력",IF('채점'!F24='채점'!F$8,"정답","오답"))))))</x:f>
        <x:v>오답</x:v>
      </x:c>
      <x:c r="G22" s="2" t="str">
        <x:f>IF('채점'!$C24="결시","결시",IF('채점'!G$45&lt;&gt;"등록","정답 미등록",IF('채점'!G24="","미응답",IF(NOT(ISNUMBER('채점'!G24)),"잘못된 입력",IF(OR('채점'!G24&lt;1,'채점'!G24&gt;4,MOD('채점'!G24,1)&lt;&gt;0),"잘못된 입력",IF('채점'!G24='채점'!G$8,"정답","오답"))))))</x:f>
        <x:v>정답</x:v>
      </x:c>
      <x:c r="H22" s="2" t="str">
        <x:f>IF('채점'!$C24="결시","결시",IF('채점'!H$45&lt;&gt;"등록","정답 미등록",IF('채점'!H24="","미응답",IF(NOT(ISNUMBER('채점'!H24)),"잘못된 입력",IF(OR('채점'!H24&lt;1,'채점'!H24&gt;4,MOD('채점'!H24,1)&lt;&gt;0),"잘못된 입력",IF('채점'!H24='채점'!H$8,"정답","오답"))))))</x:f>
        <x:v>정답</x:v>
      </x:c>
      <x:c r="I22" s="2" t="str">
        <x:f>IF('채점'!$C24="결시","결시",IF('채점'!I$45&lt;&gt;"등록","정답 미등록",IF('채점'!I24="","미응답",IF(NOT(ISNUMBER('채점'!I24)),"잘못된 입력",IF(OR('채점'!I24&lt;1,'채점'!I24&gt;4,MOD('채점'!I24,1)&lt;&gt;0),"잘못된 입력",IF('채점'!I24='채점'!I$8,"정답","오답"))))))</x:f>
        <x:v>오답</x:v>
      </x:c>
      <x:c r="J22" s="2" t="str">
        <x:f>IF('채점'!$C24="결시","결시",IF('채점'!J$45&lt;&gt;"등록","정답 미등록",IF('채점'!J24="","미응답",IF(NOT(ISNUMBER('채점'!J24)),"잘못된 입력",IF(OR('채점'!J24&lt;1,'채점'!J24&gt;4,MOD('채점'!J24,1)&lt;&gt;0),"잘못된 입력",IF('채점'!J24='채점'!J$8,"정답","오답"))))))</x:f>
        <x:v>정답</x:v>
      </x:c>
      <x:c r="K22" s="2" t="str">
        <x:f>IF('채점'!$C24="결시","결시",IF('채점'!K$45&lt;&gt;"등록","정답 미등록",IF('채점'!K24="","미응답",IF(NOT(ISNUMBER('채점'!K24)),"잘못된 입력",IF(OR('채점'!K24&lt;1,'채점'!K24&gt;4,MOD('채점'!K24,1)&lt;&gt;0),"잘못된 입력",IF('채점'!K24='채점'!K$8,"정답","오답"))))))</x:f>
        <x:v>정답</x:v>
      </x:c>
      <x:c r="L22" s="2" t="str">
        <x:f>IF('채점'!$C24="결시","결시",IF('채점'!L$45&lt;&gt;"등록","정답 미등록",IF('채점'!L24="","미응답",IF(NOT(ISNUMBER('채점'!L24)),"잘못된 입력",IF(OR('채점'!L24&lt;1,'채점'!L24&gt;4,MOD('채점'!L24,1)&lt;&gt;0),"잘못된 입력",IF('채점'!L24='채점'!L$8,"정답","오답"))))))</x:f>
        <x:v>정답</x:v>
      </x:c>
      <x:c r="M22" s="2" t="str">
        <x:f>IF('채점'!$C24="결시","결시",IF('채점'!M$45&lt;&gt;"등록","정답 미등록",IF('채점'!M24="","미응답",IF(NOT(ISNUMBER('채점'!M24)),"잘못된 입력",IF(OR('채점'!M24&lt;1,'채점'!M24&gt;4,MOD('채점'!M24,1)&lt;&gt;0),"잘못된 입력",IF('채점'!M24='채점'!M$8,"정답","오답"))))))</x:f>
        <x:v>오답</x:v>
      </x:c>
      <x:c r="N22" s="2" t="str">
        <x:f>IF('채점'!$C24="결시","결시",IF('채점'!N$45&lt;&gt;"등록","정답 미등록",IF('채점'!N24="","미응답",IF(NOT(ISNUMBER('채점'!N24)),"잘못된 입력",IF(OR('채점'!N24&lt;1,'채점'!N24&gt;4,MOD('채점'!N24,1)&lt;&gt;0),"잘못된 입력",IF('채점'!N24='채점'!N$8,"정답","오답"))))))</x:f>
        <x:v>정답</x:v>
      </x:c>
      <x:c r="O22" s="2" t="str">
        <x:f>IF('채점'!$C24="결시","결시",IF('채점'!O$45&lt;&gt;"등록","정답 미등록",IF('채점'!O24="","미응답",IF(NOT(ISNUMBER('채점'!O24)),"잘못된 입력",IF(OR('채점'!O24&lt;1,'채점'!O24&gt;4,MOD('채점'!O24,1)&lt;&gt;0),"잘못된 입력",IF('채점'!O24='채점'!O$8,"정답","오답"))))))</x:f>
        <x:v>정답</x:v>
      </x:c>
      <x:c r="P22" s="2" t="str">
        <x:f>IF('채점'!$C24="결시","결시",IF('채점'!P$45&lt;&gt;"등록","정답 미등록",IF('채점'!P24="","미응답",IF(NOT(ISNUMBER('채점'!P24)),"잘못된 입력",IF(OR('채점'!P24&lt;1,'채점'!P24&gt;4,MOD('채점'!P24,1)&lt;&gt;0),"잘못된 입력",IF('채점'!P24='채점'!P$8,"정답","오답"))))))</x:f>
        <x:v>오답</x:v>
      </x:c>
      <x:c r="Q22" s="2" t="str">
        <x:f>IF('채점'!$C24="결시","결시",IF('채점'!Q$45&lt;&gt;"등록","정답 미등록",IF('채점'!Q24="","미응답",IF(NOT(ISNUMBER('채점'!Q24)),"잘못된 입력",IF(OR('채점'!Q24&lt;1,'채점'!Q24&gt;4,MOD('채점'!Q24,1)&lt;&gt;0),"잘못된 입력",IF('채점'!Q24='채점'!Q$8,"정답","오답"))))))</x:f>
        <x:v>정답</x:v>
      </x:c>
      <x:c r="R22" s="2" t="str">
        <x:f>IF('채점'!$C24="결시","결시",IF('채점'!R$45&lt;&gt;"등록","정답 미등록",IF('채점'!R24="","미응답",IF(NOT(ISNUMBER('채점'!R24)),"잘못된 입력",IF(OR('채점'!R24&lt;1,'채점'!R24&gt;4,MOD('채점'!R24,1)&lt;&gt;0),"잘못된 입력",IF('채점'!R24='채점'!R$8,"정답","오답"))))))</x:f>
        <x:v>정답</x:v>
      </x:c>
      <x:c r="S22" s="2" t="str">
        <x:f>IF('채점'!$C24="결시","결시",IF('채점'!S$45&lt;&gt;"등록","정답 미등록",IF('채점'!S24="","미응답",IF(NOT(ISNUMBER('채점'!S24)),"잘못된 입력",IF(OR('채점'!S24&lt;1,'채점'!S24&gt;4,MOD('채점'!S24,1)&lt;&gt;0),"잘못된 입력",IF('채점'!S24='채점'!S$8,"정답","오답"))))))</x:f>
        <x:v>오답</x:v>
      </x:c>
      <x:c r="T22" s="2" t="str">
        <x:f>IF('채점'!$C24="결시","결시",IF('채점'!T$45&lt;&gt;"등록","정답 미등록",IF('채점'!T24="","미응답",IF(NOT(ISNUMBER('채점'!T24)),"잘못된 입력",IF(OR('채점'!T24&lt;1,'채점'!T24&gt;4,MOD('채점'!T24,1)&lt;&gt;0),"잘못된 입력",IF('채점'!T24='채점'!T$8,"정답","오답"))))))</x:f>
        <x:v>정답</x:v>
      </x:c>
      <x:c r="U22" s="2" t="str">
        <x:f>IF('채점'!$C24="결시","결시",IF('채점'!U$45&lt;&gt;"등록","정답 미등록",IF('채점'!U24="","미응답",IF(NOT(ISNUMBER('채점'!U24)),"잘못된 입력",IF(OR('채점'!U24&lt;1,'채점'!U24&gt;4,MOD('채점'!U24,1)&lt;&gt;0),"잘못된 입력",IF('채점'!U24='채점'!U$8,"정답","오답"))))))</x:f>
        <x:v>정답</x:v>
      </x:c>
      <x:c r="V22" s="2" t="str">
        <x:f>IF('채점'!$C24="결시","결시",IF('채점'!V$45&lt;&gt;"등록","정답 미등록",IF('채점'!V24="","미응답",IF(NOT(ISNUMBER('채점'!V24)),"잘못된 입력",IF(OR('채점'!V24&lt;1,'채점'!V24&gt;4,MOD('채점'!V24,1)&lt;&gt;0),"잘못된 입력",IF('채점'!V24='채점'!V$8,"정답","오답"))))))</x:f>
        <x:v>정답</x:v>
      </x:c>
      <x:c r="W22" s="2" t="str">
        <x:f>IF('채점'!$C24="결시","결시",IF('채점'!W$45&lt;&gt;"등록","정답 미등록",IF('채점'!W24="","미응답",IF(NOT(ISNUMBER('채점'!W24)),"잘못된 입력",IF(OR('채점'!W24&lt;1,'채점'!W24&gt;4,MOD('채점'!W24,1)&lt;&gt;0),"잘못된 입력",IF('채점'!W24='채점'!W$8,"정답","오답"))))))</x:f>
        <x:v>오답</x:v>
      </x:c>
      <x:c r="X22" s="2" t="str">
        <x:f>IF('채점'!$C24="결시","결시",IF('채점'!X$45&lt;&gt;"등록","정답 미등록",IF('채점'!X24="","미응답",IF(NOT(ISNUMBER('채점'!X24)),"잘못된 입력",IF(OR('채점'!X24&lt;1,'채점'!X24&gt;4,MOD('채점'!X24,1)&lt;&gt;0),"잘못된 입력",IF('채점'!X24='채점'!X$8,"정답","오답"))))))</x:f>
        <x:v>정답</x:v>
      </x:c>
      <x:c r="Y22" s="2" t="str">
        <x:f>IF('채점'!$C24="결시","결시",IF('채점'!Y$45&lt;&gt;"등록","정답 미등록",IF('채점'!Y24="","미응답",IF(NOT(ISNUMBER('채점'!Y24)),"잘못된 입력",IF(OR('채점'!Y24&lt;1,'채점'!Y24&gt;4,MOD('채점'!Y24,1)&lt;&gt;0),"잘못된 입력",IF('채점'!Y24='채점'!Y$8,"정답","오답"))))))</x:f>
        <x:v>정답</x:v>
      </x:c>
      <x:c r="Z22" s="2" t="str">
        <x:f>IF('채점'!$C24="결시","결시",IF('채점'!Z$45&lt;&gt;"등록","정답 미등록",IF('채점'!Z24="","미응답",IF(NOT(ISNUMBER('채점'!Z24)),"잘못된 입력",IF(OR('채점'!Z24&lt;1,'채점'!Z24&gt;4,MOD('채점'!Z24,1)&lt;&gt;0),"잘못된 입력",IF('채점'!Z24='채점'!Z$8,"정답","오답"))))))</x:f>
        <x:v>오답</x:v>
      </x:c>
      <x:c r="AA22" s="2" t="str">
        <x:f>IF('채점'!$C24="결시","결시",IF('채점'!AA$45&lt;&gt;"등록","정답 미등록",IF('채점'!AA24="","미응답",IF(NOT(ISNUMBER('채점'!AA24)),"잘못된 입력",IF(OR('채점'!AA24&lt;1,'채점'!AA24&gt;4,MOD('채점'!AA24,1)&lt;&gt;0),"잘못된 입력",IF('채점'!AA24='채점'!AA$8,"정답","오답"))))))</x:f>
        <x:v>정답</x:v>
      </x:c>
      <x:c r="AB22" s="2" t="str">
        <x:f>IF('채점'!$C24="결시","결시",IF('채점'!AB$45&lt;&gt;"등록","정답 미등록",IF('채점'!AB24="","미응답",IF(NOT(ISNUMBER('채점'!AB24)),"잘못된 입력",IF(OR('채점'!AB24&lt;1,'채점'!AB24&gt;4,MOD('채점'!AB24,1)&lt;&gt;0),"잘못된 입력",IF('채점'!AB24='채점'!AB$8,"정답","오답"))))))</x:f>
        <x:v>정답</x:v>
      </x:c>
      <x:c r="AC22" s="2" t="str">
        <x:f>IF('채점'!$C24="결시","결시",IF('채점'!AC$45&lt;&gt;"등록","정답 미등록",IF('채점'!AC24="","미응답",IF(NOT(ISNUMBER('채점'!AC24)),"잘못된 입력",IF(OR('채점'!AC24&lt;1,'채점'!AC24&gt;4,MOD('채점'!AC24,1)&lt;&gt;0),"잘못된 입력",IF('채점'!AC24='채점'!AC$8,"정답","오답"))))))</x:f>
        <x:v>오답</x:v>
      </x:c>
      <x:c r="AD22" s="2" t="str">
        <x:f>IF('채점'!$C24="결시","결시",IF('채점'!AD$45&lt;&gt;"등록","정답 미등록",IF('채점'!AD24="","미응답",IF(NOT(ISNUMBER('채점'!AD24)),"잘못된 입력",IF(OR('채점'!AD24&lt;1,'채점'!AD24&gt;4,MOD('채점'!AD24,1)&lt;&gt;0),"잘못된 입력",IF('채점'!AD24='채점'!AD$8,"정답","오답"))))))</x:f>
        <x:v>정답</x:v>
      </x:c>
      <x:c r="AE22" s="2" t="str">
        <x:f>IF('채점'!$C24="결시","결시",IF('채점'!AE$45&lt;&gt;"등록","정답 미등록",IF('채점'!AE24="","미응답",IF(NOT(ISNUMBER('채점'!AE24)),"잘못된 입력",IF(OR('채점'!AE24&lt;1,'채점'!AE24&gt;4,MOD('채점'!AE24,1)&lt;&gt;0),"잘못된 입력",IF('채점'!AE24='채점'!AE$8,"정답","오답"))))))</x:f>
        <x:v>정답</x:v>
      </x:c>
      <x:c r="AF22" s="2" t="str">
        <x:f>IF('채점'!$C24="결시","결시",IF('채점'!AF$45&lt;&gt;"등록","정답 미등록",IF('채점'!AF24="","미응답",IF(NOT(ISNUMBER('채점'!AF24)),"잘못된 입력",IF(OR('채점'!AF24&lt;1,'채점'!AF24&gt;4,MOD('채점'!AF24,1)&lt;&gt;0),"잘못된 입력",IF('채점'!AF24='채점'!AF$8,"정답","오답"))))))</x:f>
        <x:v>정답</x:v>
      </x:c>
      <x:c r="AG22" s="2" t="str">
        <x:f>IF('채점'!$C24="결시","결시",IF('채점'!AG$45&lt;&gt;"등록","정답 미등록",IF('채점'!AG24="","미응답",IF(NOT(ISNUMBER('채점'!AG24)),"잘못된 입력",IF(OR('채점'!AG24&lt;1,'채점'!AG24&gt;4,MOD('채점'!AG24,1)&lt;&gt;0),"잘못된 입력",IF('채점'!AG24='채점'!AG$8,"정답","오답"))))))</x:f>
        <x:v>오답</x:v>
      </x:c>
      <x:c r="AH22" s="2" t="str">
        <x:f>IF('채점'!$C24="결시","결시",IF('채점'!AH$45&lt;&gt;"등록","정답 미등록",IF('채점'!AH24="","미응답",IF(NOT(ISNUMBER('채점'!AH24)),"잘못된 입력",IF(OR('채점'!AH24&lt;1,'채점'!AH24&gt;4,MOD('채점'!AH24,1)&lt;&gt;0),"잘못된 입력",IF('채점'!AH24='채점'!AH$8,"정답","오답"))))))</x:f>
        <x:v>정답</x:v>
      </x:c>
      <x:c r="AI22" s="2" t="str">
        <x:f>IF('채점'!$C24="결시","결시",IF('채점'!AI$45&lt;&gt;"등록","정답 미등록",IF('채점'!AI24="","미응답",IF(NOT(ISNUMBER('채점'!AI24)),"잘못된 입력",IF(OR('채점'!AI24&lt;1,'채점'!AI24&gt;4,MOD('채점'!AI24,1)&lt;&gt;0),"잘못된 입력",IF('채점'!AI24='채점'!AI$8,"정답","오답"))))))</x:f>
        <x:v>정답</x:v>
      </x:c>
      <x:c r="AJ22" s="2" t="str">
        <x:f>IF('채점'!$C24="결시","결시",IF('채점'!AJ$45&lt;&gt;"등록","정답 미등록",IF('채점'!AJ24="","미응답",IF(NOT(ISNUMBER('채점'!AJ24)),"잘못된 입력",IF(OR('채점'!AJ24&lt;1,'채점'!AJ24&gt;4,MOD('채점'!AJ24,1)&lt;&gt;0),"잘못된 입력",IF('채점'!AJ24='채점'!AJ$8,"정답","오답"))))))</x:f>
        <x:v>오답</x:v>
      </x:c>
      <x:c r="AK22" s="2" t="str">
        <x:f>IF('채점'!$C24="결시","결시",IF('채점'!AK$45&lt;&gt;"등록","정답 미등록",IF('채점'!AK24="","미응답",IF(NOT(ISNUMBER('채점'!AK24)),"잘못된 입력",IF(OR('채점'!AK24&lt;1,'채점'!AK24&gt;4,MOD('채점'!AK24,1)&lt;&gt;0),"잘못된 입력",IF('채점'!AK24='채점'!AK$8,"정답","오답"))))))</x:f>
        <x:v>정답</x:v>
      </x:c>
      <x:c r="AL22" s="2" t="str">
        <x:f>IF('채점'!$C24="결시","결시",IF('채점'!AL$45&lt;&gt;"등록","정답 미등록",IF('채점'!AL24="","미응답",IF(NOT(ISNUMBER('채점'!AL24)),"잘못된 입력",IF(OR('채점'!AL24&lt;1,'채점'!AL24&gt;4,MOD('채점'!AL24,1)&lt;&gt;0),"잘못된 입력",IF('채점'!AL24='채점'!AL$8,"정답","오답"))))))</x:f>
        <x:v>정답</x:v>
      </x:c>
      <x:c r="AM22" s="2" t="str">
        <x:f>IF('채점'!$C24="결시","결시",IF('채점'!AM$45&lt;&gt;"등록","정답 미등록",IF('채점'!AM24="","미응답",IF(NOT(ISNUMBER('채점'!AM24)),"잘못된 입력",IF(OR('채점'!AM24&lt;1,'채점'!AM24&gt;4,MOD('채점'!AM24,1)&lt;&gt;0),"잘못된 입력",IF('채점'!AM24='채점'!AM$8,"정답","오답"))))))</x:f>
        <x:v>오답</x:v>
      </x:c>
      <x:c r="AN22" s="2" t="str">
        <x:f>IF('채점'!$C24="결시","결시",IF('채점'!AN$45&lt;&gt;"등록","정답 미등록",IF('채점'!AN24="","미응답",IF(NOT(ISNUMBER('채점'!AN24)),"잘못된 입력",IF(OR('채점'!AN24&lt;1,'채점'!AN24&gt;4,MOD('채점'!AN24,1)&lt;&gt;0),"잘못된 입력",IF('채점'!AN24='채점'!AN$8,"정답","오답"))))))</x:f>
        <x:v>정답</x:v>
      </x:c>
      <x:c r="AO22" s="2" t="str">
        <x:f>IF('채점'!$C24="결시","결시",IF('채점'!AO$45&lt;&gt;"등록","정답 미등록",IF('채점'!AO24="","미응답",IF(NOT(ISNUMBER('채점'!AO24)),"잘못된 입력",IF(OR('채점'!AO24&lt;1,'채점'!AO24&gt;4,MOD('채점'!AO24,1)&lt;&gt;0),"잘못된 입력",IF('채점'!AO24='채점'!AO$8,"정답","오답"))))))</x:f>
        <x:v>정답</x:v>
      </x:c>
      <x:c r="AP22" s="2" t="str">
        <x:f>IF('채점'!$C24="결시","결시",IF('채점'!AP$45&lt;&gt;"등록","정답 미등록",IF('채점'!AP24="","미응답",IF(NOT(ISNUMBER('채점'!AP24)),"잘못된 입력",IF(OR('채점'!AP24&lt;1,'채점'!AP24&gt;4,MOD('채점'!AP24,1)&lt;&gt;0),"잘못된 입력",IF('채점'!AP24='채점'!AP$8,"정답","오답"))))))</x:f>
        <x:v>정답</x:v>
      </x:c>
      <x:c r="AQ22" s="2" t="str">
        <x:f>IF('채점'!$C24="결시","결시",IF('채점'!AQ$45&lt;&gt;"등록","정답 미등록",IF('채점'!AQ24="","미응답",IF(NOT(ISNUMBER('채점'!AQ24)),"잘못된 입력",IF(OR('채점'!AQ24&lt;1,'채점'!AQ24&gt;4,MOD('채점'!AQ24,1)&lt;&gt;0),"잘못된 입력",IF('채점'!AQ24='채점'!AQ$8,"정답","오답"))))))</x:f>
        <x:v>오답</x:v>
      </x:c>
    </x:row>
    <x:row r="23" ht="25" customHeight="1">
      <x:c r="A23" s="2" t="str">
        <x:f>'채점'!A25</x:f>
        <x:v>S016</x:v>
      </x:c>
      <x:c r="B23" s="2" t="str">
        <x:f>'채점'!C25</x:f>
        <x:v>응시</x:v>
      </x:c>
      <x:c r="C23" s="2"/>
      <x:c r="D23" s="2" t="str">
        <x:f>IF('채점'!$C25="결시","결시",IF('채점'!D$45&lt;&gt;"등록","정답 미등록",IF('채점'!D25="","미응답",IF(NOT(ISNUMBER('채점'!D25)),"잘못된 입력",IF(OR('채점'!D25&lt;1,'채점'!D25&gt;4,MOD('채점'!D25,1)&lt;&gt;0),"잘못된 입력",IF('채점'!D25='채점'!D$8,"정답","오답"))))))</x:f>
        <x:v>정답</x:v>
      </x:c>
      <x:c r="E23" s="2" t="str">
        <x:f>IF('채점'!$C25="결시","결시",IF('채점'!E$45&lt;&gt;"등록","정답 미등록",IF('채점'!E25="","미응답",IF(NOT(ISNUMBER('채점'!E25)),"잘못된 입력",IF(OR('채점'!E25&lt;1,'채점'!E25&gt;4,MOD('채점'!E25,1)&lt;&gt;0),"잘못된 입력",IF('채점'!E25='채점'!E$8,"정답","오답"))))))</x:f>
        <x:v>정답</x:v>
      </x:c>
      <x:c r="F23" s="2" t="str">
        <x:f>IF('채점'!$C25="결시","결시",IF('채점'!F$45&lt;&gt;"등록","정답 미등록",IF('채점'!F25="","미응답",IF(NOT(ISNUMBER('채점'!F25)),"잘못된 입력",IF(OR('채점'!F25&lt;1,'채점'!F25&gt;4,MOD('채점'!F25,1)&lt;&gt;0),"잘못된 입력",IF('채점'!F25='채점'!F$8,"정답","오답"))))))</x:f>
        <x:v>오답</x:v>
      </x:c>
      <x:c r="G23" s="2" t="str">
        <x:f>IF('채점'!$C25="결시","결시",IF('채점'!G$45&lt;&gt;"등록","정답 미등록",IF('채점'!G25="","미응답",IF(NOT(ISNUMBER('채점'!G25)),"잘못된 입력",IF(OR('채점'!G25&lt;1,'채점'!G25&gt;4,MOD('채점'!G25,1)&lt;&gt;0),"잘못된 입력",IF('채점'!G25='채점'!G$8,"정답","오답"))))))</x:f>
        <x:v>정답</x:v>
      </x:c>
      <x:c r="H23" s="2" t="str">
        <x:f>IF('채점'!$C25="결시","결시",IF('채점'!H$45&lt;&gt;"등록","정답 미등록",IF('채점'!H25="","미응답",IF(NOT(ISNUMBER('채점'!H25)),"잘못된 입력",IF(OR('채점'!H25&lt;1,'채점'!H25&gt;4,MOD('채점'!H25,1)&lt;&gt;0),"잘못된 입력",IF('채점'!H25='채점'!H$8,"정답","오답"))))))</x:f>
        <x:v>정답</x:v>
      </x:c>
      <x:c r="I23" s="2" t="str">
        <x:f>IF('채점'!$C25="결시","결시",IF('채점'!I$45&lt;&gt;"등록","정답 미등록",IF('채점'!I25="","미응답",IF(NOT(ISNUMBER('채점'!I25)),"잘못된 입력",IF(OR('채점'!I25&lt;1,'채점'!I25&gt;4,MOD('채점'!I25,1)&lt;&gt;0),"잘못된 입력",IF('채점'!I25='채점'!I$8,"정답","오답"))))))</x:f>
        <x:v>정답</x:v>
      </x:c>
      <x:c r="J23" s="2" t="str">
        <x:f>IF('채점'!$C25="결시","결시",IF('채점'!J$45&lt;&gt;"등록","정답 미등록",IF('채점'!J25="","미응답",IF(NOT(ISNUMBER('채점'!J25)),"잘못된 입력",IF(OR('채점'!J25&lt;1,'채점'!J25&gt;4,MOD('채점'!J25,1)&lt;&gt;0),"잘못된 입력",IF('채점'!J25='채점'!J$8,"정답","오답"))))))</x:f>
        <x:v>정답</x:v>
      </x:c>
      <x:c r="K23" s="2" t="str">
        <x:f>IF('채점'!$C25="결시","결시",IF('채점'!K$45&lt;&gt;"등록","정답 미등록",IF('채점'!K25="","미응답",IF(NOT(ISNUMBER('채점'!K25)),"잘못된 입력",IF(OR('채점'!K25&lt;1,'채점'!K25&gt;4,MOD('채점'!K25,1)&lt;&gt;0),"잘못된 입력",IF('채점'!K25='채점'!K$8,"정답","오답"))))))</x:f>
        <x:v>정답</x:v>
      </x:c>
      <x:c r="L23" s="2" t="str">
        <x:f>IF('채점'!$C25="결시","결시",IF('채점'!L$45&lt;&gt;"등록","정답 미등록",IF('채점'!L25="","미응답",IF(NOT(ISNUMBER('채점'!L25)),"잘못된 입력",IF(OR('채점'!L25&lt;1,'채점'!L25&gt;4,MOD('채점'!L25,1)&lt;&gt;0),"잘못된 입력",IF('채점'!L25='채점'!L$8,"정답","오답"))))))</x:f>
        <x:v>정답</x:v>
      </x:c>
      <x:c r="M23" s="2" t="str">
        <x:f>IF('채점'!$C25="결시","결시",IF('채점'!M$45&lt;&gt;"등록","정답 미등록",IF('채점'!M25="","미응답",IF(NOT(ISNUMBER('채점'!M25)),"잘못된 입력",IF(OR('채점'!M25&lt;1,'채점'!M25&gt;4,MOD('채점'!M25,1)&lt;&gt;0),"잘못된 입력",IF('채점'!M25='채점'!M$8,"정답","오답"))))))</x:f>
        <x:v>오답</x:v>
      </x:c>
      <x:c r="N23" s="2" t="str">
        <x:f>IF('채점'!$C25="결시","결시",IF('채점'!N$45&lt;&gt;"등록","정답 미등록",IF('채점'!N25="","미응답",IF(NOT(ISNUMBER('채점'!N25)),"잘못된 입력",IF(OR('채점'!N25&lt;1,'채점'!N25&gt;4,MOD('채점'!N25,1)&lt;&gt;0),"잘못된 입력",IF('채점'!N25='채점'!N$8,"정답","오답"))))))</x:f>
        <x:v>정답</x:v>
      </x:c>
      <x:c r="O23" s="2" t="str">
        <x:f>IF('채점'!$C25="결시","결시",IF('채점'!O$45&lt;&gt;"등록","정답 미등록",IF('채점'!O25="","미응답",IF(NOT(ISNUMBER('채점'!O25)),"잘못된 입력",IF(OR('채점'!O25&lt;1,'채점'!O25&gt;4,MOD('채점'!O25,1)&lt;&gt;0),"잘못된 입력",IF('채점'!O25='채점'!O$8,"정답","오답"))))))</x:f>
        <x:v>정답</x:v>
      </x:c>
      <x:c r="P23" s="2" t="str">
        <x:f>IF('채점'!$C25="결시","결시",IF('채점'!P$45&lt;&gt;"등록","정답 미등록",IF('채점'!P25="","미응답",IF(NOT(ISNUMBER('채점'!P25)),"잘못된 입력",IF(OR('채점'!P25&lt;1,'채점'!P25&gt;4,MOD('채점'!P25,1)&lt;&gt;0),"잘못된 입력",IF('채점'!P25='채점'!P$8,"정답","오답"))))))</x:f>
        <x:v>오답</x:v>
      </x:c>
      <x:c r="Q23" s="2" t="str">
        <x:f>IF('채점'!$C25="결시","결시",IF('채점'!Q$45&lt;&gt;"등록","정답 미등록",IF('채점'!Q25="","미응답",IF(NOT(ISNUMBER('채점'!Q25)),"잘못된 입력",IF(OR('채점'!Q25&lt;1,'채점'!Q25&gt;4,MOD('채점'!Q25,1)&lt;&gt;0),"잘못된 입력",IF('채점'!Q25='채점'!Q$8,"정답","오답"))))))</x:f>
        <x:v>정답</x:v>
      </x:c>
      <x:c r="R23" s="2" t="str">
        <x:f>IF('채점'!$C25="결시","결시",IF('채점'!R$45&lt;&gt;"등록","정답 미등록",IF('채점'!R25="","미응답",IF(NOT(ISNUMBER('채점'!R25)),"잘못된 입력",IF(OR('채점'!R25&lt;1,'채점'!R25&gt;4,MOD('채점'!R25,1)&lt;&gt;0),"잘못된 입력",IF('채점'!R25='채점'!R$8,"정답","오답"))))))</x:f>
        <x:v>정답</x:v>
      </x:c>
      <x:c r="S23" s="2" t="str">
        <x:f>IF('채점'!$C25="결시","결시",IF('채점'!S$45&lt;&gt;"등록","정답 미등록",IF('채점'!S25="","미응답",IF(NOT(ISNUMBER('채점'!S25)),"잘못된 입력",IF(OR('채점'!S25&lt;1,'채점'!S25&gt;4,MOD('채점'!S25,1)&lt;&gt;0),"잘못된 입력",IF('채점'!S25='채점'!S$8,"정답","오답"))))))</x:f>
        <x:v>정답</x:v>
      </x:c>
      <x:c r="T23" s="2" t="str">
        <x:f>IF('채점'!$C25="결시","결시",IF('채점'!T$45&lt;&gt;"등록","정답 미등록",IF('채점'!T25="","미응답",IF(NOT(ISNUMBER('채점'!T25)),"잘못된 입력",IF(OR('채점'!T25&lt;1,'채점'!T25&gt;4,MOD('채점'!T25,1)&lt;&gt;0),"잘못된 입력",IF('채점'!T25='채점'!T$8,"정답","오답"))))))</x:f>
        <x:v>정답</x:v>
      </x:c>
      <x:c r="U23" s="2" t="str">
        <x:f>IF('채점'!$C25="결시","결시",IF('채점'!U$45&lt;&gt;"등록","정답 미등록",IF('채점'!U25="","미응답",IF(NOT(ISNUMBER('채점'!U25)),"잘못된 입력",IF(OR('채점'!U25&lt;1,'채점'!U25&gt;4,MOD('채점'!U25,1)&lt;&gt;0),"잘못된 입력",IF('채점'!U25='채점'!U$8,"정답","오답"))))))</x:f>
        <x:v>정답</x:v>
      </x:c>
      <x:c r="V23" s="2" t="str">
        <x:f>IF('채점'!$C25="결시","결시",IF('채점'!V$45&lt;&gt;"등록","정답 미등록",IF('채점'!V25="","미응답",IF(NOT(ISNUMBER('채점'!V25)),"잘못된 입력",IF(OR('채점'!V25&lt;1,'채점'!V25&gt;4,MOD('채점'!V25,1)&lt;&gt;0),"잘못된 입력",IF('채점'!V25='채점'!V$8,"정답","오답"))))))</x:f>
        <x:v>정답</x:v>
      </x:c>
      <x:c r="W23" s="2" t="str">
        <x:f>IF('채점'!$C25="결시","결시",IF('채점'!W$45&lt;&gt;"등록","정답 미등록",IF('채점'!W25="","미응답",IF(NOT(ISNUMBER('채점'!W25)),"잘못된 입력",IF(OR('채점'!W25&lt;1,'채점'!W25&gt;4,MOD('채점'!W25,1)&lt;&gt;0),"잘못된 입력",IF('채점'!W25='채점'!W$8,"정답","오답"))))))</x:f>
        <x:v>오답</x:v>
      </x:c>
      <x:c r="X23" s="2" t="str">
        <x:f>IF('채점'!$C25="결시","결시",IF('채점'!X$45&lt;&gt;"등록","정답 미등록",IF('채점'!X25="","미응답",IF(NOT(ISNUMBER('채점'!X25)),"잘못된 입력",IF(OR('채점'!X25&lt;1,'채점'!X25&gt;4,MOD('채점'!X25,1)&lt;&gt;0),"잘못된 입력",IF('채점'!X25='채점'!X$8,"정답","오답"))))))</x:f>
        <x:v>정답</x:v>
      </x:c>
      <x:c r="Y23" s="2" t="str">
        <x:f>IF('채점'!$C25="결시","결시",IF('채점'!Y$45&lt;&gt;"등록","정답 미등록",IF('채점'!Y25="","미응답",IF(NOT(ISNUMBER('채점'!Y25)),"잘못된 입력",IF(OR('채점'!Y25&lt;1,'채점'!Y25&gt;4,MOD('채점'!Y25,1)&lt;&gt;0),"잘못된 입력",IF('채점'!Y25='채점'!Y$8,"정답","오답"))))))</x:f>
        <x:v>정답</x:v>
      </x:c>
      <x:c r="Z23" s="2" t="str">
        <x:f>IF('채점'!$C25="결시","결시",IF('채점'!Z$45&lt;&gt;"등록","정답 미등록",IF('채점'!Z25="","미응답",IF(NOT(ISNUMBER('채점'!Z25)),"잘못된 입력",IF(OR('채점'!Z25&lt;1,'채점'!Z25&gt;4,MOD('채점'!Z25,1)&lt;&gt;0),"잘못된 입력",IF('채점'!Z25='채점'!Z$8,"정답","오답"))))))</x:f>
        <x:v>오답</x:v>
      </x:c>
      <x:c r="AA23" s="2" t="str">
        <x:f>IF('채점'!$C25="결시","결시",IF('채점'!AA$45&lt;&gt;"등록","정답 미등록",IF('채점'!AA25="","미응답",IF(NOT(ISNUMBER('채점'!AA25)),"잘못된 입력",IF(OR('채점'!AA25&lt;1,'채점'!AA25&gt;4,MOD('채점'!AA25,1)&lt;&gt;0),"잘못된 입력",IF('채점'!AA25='채점'!AA$8,"정답","오답"))))))</x:f>
        <x:v>정답</x:v>
      </x:c>
      <x:c r="AB23" s="2" t="str">
        <x:f>IF('채점'!$C25="결시","결시",IF('채점'!AB$45&lt;&gt;"등록","정답 미등록",IF('채점'!AB25="","미응답",IF(NOT(ISNUMBER('채점'!AB25)),"잘못된 입력",IF(OR('채점'!AB25&lt;1,'채점'!AB25&gt;4,MOD('채점'!AB25,1)&lt;&gt;0),"잘못된 입력",IF('채점'!AB25='채점'!AB$8,"정답","오답"))))))</x:f>
        <x:v>정답</x:v>
      </x:c>
      <x:c r="AC23" s="2" t="str">
        <x:f>IF('채점'!$C25="결시","결시",IF('채점'!AC$45&lt;&gt;"등록","정답 미등록",IF('채점'!AC25="","미응답",IF(NOT(ISNUMBER('채점'!AC25)),"잘못된 입력",IF(OR('채점'!AC25&lt;1,'채점'!AC25&gt;4,MOD('채점'!AC25,1)&lt;&gt;0),"잘못된 입력",IF('채점'!AC25='채점'!AC$8,"정답","오답"))))))</x:f>
        <x:v>정답</x:v>
      </x:c>
      <x:c r="AD23" s="2" t="str">
        <x:f>IF('채점'!$C25="결시","결시",IF('채점'!AD$45&lt;&gt;"등록","정답 미등록",IF('채점'!AD25="","미응답",IF(NOT(ISNUMBER('채점'!AD25)),"잘못된 입력",IF(OR('채점'!AD25&lt;1,'채점'!AD25&gt;4,MOD('채점'!AD25,1)&lt;&gt;0),"잘못된 입력",IF('채점'!AD25='채점'!AD$8,"정답","오답"))))))</x:f>
        <x:v>정답</x:v>
      </x:c>
      <x:c r="AE23" s="2" t="str">
        <x:f>IF('채점'!$C25="결시","결시",IF('채점'!AE$45&lt;&gt;"등록","정답 미등록",IF('채점'!AE25="","미응답",IF(NOT(ISNUMBER('채점'!AE25)),"잘못된 입력",IF(OR('채점'!AE25&lt;1,'채점'!AE25&gt;4,MOD('채점'!AE25,1)&lt;&gt;0),"잘못된 입력",IF('채점'!AE25='채점'!AE$8,"정답","오답"))))))</x:f>
        <x:v>정답</x:v>
      </x:c>
      <x:c r="AF23" s="2" t="str">
        <x:f>IF('채점'!$C25="결시","결시",IF('채점'!AF$45&lt;&gt;"등록","정답 미등록",IF('채점'!AF25="","미응답",IF(NOT(ISNUMBER('채점'!AF25)),"잘못된 입력",IF(OR('채점'!AF25&lt;1,'채점'!AF25&gt;4,MOD('채점'!AF25,1)&lt;&gt;0),"잘못된 입력",IF('채점'!AF25='채점'!AF$8,"정답","오답"))))))</x:f>
        <x:v>정답</x:v>
      </x:c>
      <x:c r="AG23" s="2" t="str">
        <x:f>IF('채점'!$C25="결시","결시",IF('채점'!AG$45&lt;&gt;"등록","정답 미등록",IF('채점'!AG25="","미응답",IF(NOT(ISNUMBER('채점'!AG25)),"잘못된 입력",IF(OR('채점'!AG25&lt;1,'채점'!AG25&gt;4,MOD('채점'!AG25,1)&lt;&gt;0),"잘못된 입력",IF('채점'!AG25='채점'!AG$8,"정답","오답"))))))</x:f>
        <x:v>오답</x:v>
      </x:c>
      <x:c r="AH23" s="2" t="str">
        <x:f>IF('채점'!$C25="결시","결시",IF('채점'!AH$45&lt;&gt;"등록","정답 미등록",IF('채점'!AH25="","미응답",IF(NOT(ISNUMBER('채점'!AH25)),"잘못된 입력",IF(OR('채점'!AH25&lt;1,'채점'!AH25&gt;4,MOD('채점'!AH25,1)&lt;&gt;0),"잘못된 입력",IF('채점'!AH25='채점'!AH$8,"정답","오답"))))))</x:f>
        <x:v>정답</x:v>
      </x:c>
      <x:c r="AI23" s="2" t="str">
        <x:f>IF('채점'!$C25="결시","결시",IF('채점'!AI$45&lt;&gt;"등록","정답 미등록",IF('채점'!AI25="","미응답",IF(NOT(ISNUMBER('채점'!AI25)),"잘못된 입력",IF(OR('채점'!AI25&lt;1,'채점'!AI25&gt;4,MOD('채점'!AI25,1)&lt;&gt;0),"잘못된 입력",IF('채점'!AI25='채점'!AI$8,"정답","오답"))))))</x:f>
        <x:v>정답</x:v>
      </x:c>
      <x:c r="AJ23" s="2" t="str">
        <x:f>IF('채점'!$C25="결시","결시",IF('채점'!AJ$45&lt;&gt;"등록","정답 미등록",IF('채점'!AJ25="","미응답",IF(NOT(ISNUMBER('채점'!AJ25)),"잘못된 입력",IF(OR('채점'!AJ25&lt;1,'채점'!AJ25&gt;4,MOD('채점'!AJ25,1)&lt;&gt;0),"잘못된 입력",IF('채점'!AJ25='채점'!AJ$8,"정답","오답"))))))</x:f>
        <x:v>오답</x:v>
      </x:c>
      <x:c r="AK23" s="2" t="str">
        <x:f>IF('채점'!$C25="결시","결시",IF('채점'!AK$45&lt;&gt;"등록","정답 미등록",IF('채점'!AK25="","미응답",IF(NOT(ISNUMBER('채점'!AK25)),"잘못된 입력",IF(OR('채점'!AK25&lt;1,'채점'!AK25&gt;4,MOD('채점'!AK25,1)&lt;&gt;0),"잘못된 입력",IF('채점'!AK25='채점'!AK$8,"정답","오답"))))))</x:f>
        <x:v>정답</x:v>
      </x:c>
      <x:c r="AL23" s="2" t="str">
        <x:f>IF('채점'!$C25="결시","결시",IF('채점'!AL$45&lt;&gt;"등록","정답 미등록",IF('채점'!AL25="","미응답",IF(NOT(ISNUMBER('채점'!AL25)),"잘못된 입력",IF(OR('채점'!AL25&lt;1,'채점'!AL25&gt;4,MOD('채점'!AL25,1)&lt;&gt;0),"잘못된 입력",IF('채점'!AL25='채점'!AL$8,"정답","오답"))))))</x:f>
        <x:v>정답</x:v>
      </x:c>
      <x:c r="AM23" s="2" t="str">
        <x:f>IF('채점'!$C25="결시","결시",IF('채점'!AM$45&lt;&gt;"등록","정답 미등록",IF('채점'!AM25="","미응답",IF(NOT(ISNUMBER('채점'!AM25)),"잘못된 입력",IF(OR('채점'!AM25&lt;1,'채점'!AM25&gt;4,MOD('채점'!AM25,1)&lt;&gt;0),"잘못된 입력",IF('채점'!AM25='채점'!AM$8,"정답","오답"))))))</x:f>
        <x:v>정답</x:v>
      </x:c>
      <x:c r="AN23" s="2" t="str">
        <x:f>IF('채점'!$C25="결시","결시",IF('채점'!AN$45&lt;&gt;"등록","정답 미등록",IF('채점'!AN25="","미응답",IF(NOT(ISNUMBER('채점'!AN25)),"잘못된 입력",IF(OR('채점'!AN25&lt;1,'채점'!AN25&gt;4,MOD('채점'!AN25,1)&lt;&gt;0),"잘못된 입력",IF('채점'!AN25='채점'!AN$8,"정답","오답"))))))</x:f>
        <x:v>정답</x:v>
      </x:c>
      <x:c r="AO23" s="2" t="str">
        <x:f>IF('채점'!$C25="결시","결시",IF('채점'!AO$45&lt;&gt;"등록","정답 미등록",IF('채점'!AO25="","미응답",IF(NOT(ISNUMBER('채점'!AO25)),"잘못된 입력",IF(OR('채점'!AO25&lt;1,'채점'!AO25&gt;4,MOD('채점'!AO25,1)&lt;&gt;0),"잘못된 입력",IF('채점'!AO25='채점'!AO$8,"정답","오답"))))))</x:f>
        <x:v>정답</x:v>
      </x:c>
      <x:c r="AP23" s="2" t="str">
        <x:f>IF('채점'!$C25="결시","결시",IF('채점'!AP$45&lt;&gt;"등록","정답 미등록",IF('채점'!AP25="","미응답",IF(NOT(ISNUMBER('채점'!AP25)),"잘못된 입력",IF(OR('채점'!AP25&lt;1,'채점'!AP25&gt;4,MOD('채점'!AP25,1)&lt;&gt;0),"잘못된 입력",IF('채점'!AP25='채점'!AP$8,"정답","오답"))))))</x:f>
        <x:v>정답</x:v>
      </x:c>
      <x:c r="AQ23" s="2" t="str">
        <x:f>IF('채점'!$C25="결시","결시",IF('채점'!AQ$45&lt;&gt;"등록","정답 미등록",IF('채점'!AQ25="","미응답",IF(NOT(ISNUMBER('채점'!AQ25)),"잘못된 입력",IF(OR('채점'!AQ25&lt;1,'채점'!AQ25&gt;4,MOD('채점'!AQ25,1)&lt;&gt;0),"잘못된 입력",IF('채점'!AQ25='채점'!AQ$8,"정답","오답"))))))</x:f>
        <x:v>오답</x:v>
      </x:c>
    </x:row>
    <x:row r="24" ht="25" customHeight="1">
      <x:c r="A24" s="2" t="str">
        <x:f>'채점'!A26</x:f>
        <x:v>S017</x:v>
      </x:c>
      <x:c r="B24" s="2" t="str">
        <x:f>'채점'!C26</x:f>
        <x:v>응시</x:v>
      </x:c>
      <x:c r="C24" s="2"/>
      <x:c r="D24" s="2" t="str">
        <x:f>IF('채점'!$C26="결시","결시",IF('채점'!D$45&lt;&gt;"등록","정답 미등록",IF('채점'!D26="","미응답",IF(NOT(ISNUMBER('채점'!D26)),"잘못된 입력",IF(OR('채점'!D26&lt;1,'채점'!D26&gt;4,MOD('채점'!D26,1)&lt;&gt;0),"잘못된 입력",IF('채점'!D26='채점'!D$8,"정답","오답"))))))</x:f>
        <x:v>오답</x:v>
      </x:c>
      <x:c r="E24" s="2" t="str">
        <x:f>IF('채점'!$C26="결시","결시",IF('채점'!E$45&lt;&gt;"등록","정답 미등록",IF('채점'!E26="","미응답",IF(NOT(ISNUMBER('채점'!E26)),"잘못된 입력",IF(OR('채점'!E26&lt;1,'채점'!E26&gt;4,MOD('채점'!E26,1)&lt;&gt;0),"잘못된 입력",IF('채점'!E26='채점'!E$8,"정답","오답"))))))</x:f>
        <x:v>정답</x:v>
      </x:c>
      <x:c r="F24" s="2" t="str">
        <x:f>IF('채점'!$C26="결시","결시",IF('채점'!F$45&lt;&gt;"등록","정답 미등록",IF('채점'!F26="","미응답",IF(NOT(ISNUMBER('채점'!F26)),"잘못된 입력",IF(OR('채점'!F26&lt;1,'채점'!F26&gt;4,MOD('채점'!F26,1)&lt;&gt;0),"잘못된 입력",IF('채점'!F26='채점'!F$8,"정답","오답"))))))</x:f>
        <x:v>정답</x:v>
      </x:c>
      <x:c r="G24" s="2" t="str">
        <x:f>IF('채점'!$C26="결시","결시",IF('채점'!G$45&lt;&gt;"등록","정답 미등록",IF('채점'!G26="","미응답",IF(NOT(ISNUMBER('채점'!G26)),"잘못된 입력",IF(OR('채점'!G26&lt;1,'채점'!G26&gt;4,MOD('채점'!G26,1)&lt;&gt;0),"잘못된 입력",IF('채점'!G26='채점'!G$8,"정답","오답"))))))</x:f>
        <x:v>오답</x:v>
      </x:c>
      <x:c r="H24" s="2" t="str">
        <x:f>IF('채점'!$C26="결시","결시",IF('채점'!H$45&lt;&gt;"등록","정답 미등록",IF('채점'!H26="","미응답",IF(NOT(ISNUMBER('채점'!H26)),"잘못된 입력",IF(OR('채점'!H26&lt;1,'채점'!H26&gt;4,MOD('채점'!H26,1)&lt;&gt;0),"잘못된 입력",IF('채점'!H26='채점'!H$8,"정답","오답"))))))</x:f>
        <x:v>정답</x:v>
      </x:c>
      <x:c r="I24" s="2" t="str">
        <x:f>IF('채점'!$C26="결시","결시",IF('채점'!I$45&lt;&gt;"등록","정답 미등록",IF('채점'!I26="","미응답",IF(NOT(ISNUMBER('채점'!I26)),"잘못된 입력",IF(OR('채점'!I26&lt;1,'채점'!I26&gt;4,MOD('채점'!I26,1)&lt;&gt;0),"잘못된 입력",IF('채점'!I26='채점'!I$8,"정답","오답"))))))</x:f>
        <x:v>정답</x:v>
      </x:c>
      <x:c r="J24" s="2" t="str">
        <x:f>IF('채점'!$C26="결시","결시",IF('채점'!J$45&lt;&gt;"등록","정답 미등록",IF('채점'!J26="","미응답",IF(NOT(ISNUMBER('채점'!J26)),"잘못된 입력",IF(OR('채점'!J26&lt;1,'채점'!J26&gt;4,MOD('채점'!J26,1)&lt;&gt;0),"잘못된 입력",IF('채점'!J26='채점'!J$8,"정답","오답"))))))</x:f>
        <x:v>오답</x:v>
      </x:c>
      <x:c r="K24" s="2" t="str">
        <x:f>IF('채점'!$C26="결시","결시",IF('채점'!K$45&lt;&gt;"등록","정답 미등록",IF('채점'!K26="","미응답",IF(NOT(ISNUMBER('채점'!K26)),"잘못된 입력",IF(OR('채점'!K26&lt;1,'채점'!K26&gt;4,MOD('채점'!K26,1)&lt;&gt;0),"잘못된 입력",IF('채점'!K26='채점'!K$8,"정답","오답"))))))</x:f>
        <x:v>오답</x:v>
      </x:c>
      <x:c r="L24" s="2" t="str">
        <x:f>IF('채점'!$C26="결시","결시",IF('채점'!L$45&lt;&gt;"등록","정답 미등록",IF('채점'!L26="","미응답",IF(NOT(ISNUMBER('채점'!L26)),"잘못된 입력",IF(OR('채점'!L26&lt;1,'채점'!L26&gt;4,MOD('채점'!L26,1)&lt;&gt;0),"잘못된 입력",IF('채점'!L26='채점'!L$8,"정답","오답"))))))</x:f>
        <x:v>정답</x:v>
      </x:c>
      <x:c r="M24" s="2" t="str">
        <x:f>IF('채점'!$C26="결시","결시",IF('채점'!M$45&lt;&gt;"등록","정답 미등록",IF('채점'!M26="","미응답",IF(NOT(ISNUMBER('채점'!M26)),"잘못된 입력",IF(OR('채점'!M26&lt;1,'채점'!M26&gt;4,MOD('채점'!M26,1)&lt;&gt;0),"잘못된 입력",IF('채점'!M26='채점'!M$8,"정답","오답"))))))</x:f>
        <x:v>오답</x:v>
      </x:c>
      <x:c r="N24" s="2" t="str">
        <x:f>IF('채점'!$C26="결시","결시",IF('채점'!N$45&lt;&gt;"등록","정답 미등록",IF('채점'!N26="","미응답",IF(NOT(ISNUMBER('채점'!N26)),"잘못된 입력",IF(OR('채점'!N26&lt;1,'채점'!N26&gt;4,MOD('채점'!N26,1)&lt;&gt;0),"잘못된 입력",IF('채점'!N26='채점'!N$8,"정답","오답"))))))</x:f>
        <x:v>오답</x:v>
      </x:c>
      <x:c r="O24" s="2" t="str">
        <x:f>IF('채점'!$C26="결시","결시",IF('채점'!O$45&lt;&gt;"등록","정답 미등록",IF('채점'!O26="","미응답",IF(NOT(ISNUMBER('채점'!O26)),"잘못된 입력",IF(OR('채점'!O26&lt;1,'채점'!O26&gt;4,MOD('채점'!O26,1)&lt;&gt;0),"잘못된 입력",IF('채점'!O26='채점'!O$8,"정답","오답"))))))</x:f>
        <x:v>정답</x:v>
      </x:c>
      <x:c r="P24" s="2" t="str">
        <x:f>IF('채점'!$C26="결시","결시",IF('채점'!P$45&lt;&gt;"등록","정답 미등록",IF('채점'!P26="","미응답",IF(NOT(ISNUMBER('채점'!P26)),"잘못된 입력",IF(OR('채점'!P26&lt;1,'채점'!P26&gt;4,MOD('채점'!P26,1)&lt;&gt;0),"잘못된 입력",IF('채점'!P26='채점'!P$8,"정답","오답"))))))</x:f>
        <x:v>정답</x:v>
      </x:c>
      <x:c r="Q24" s="2" t="str">
        <x:f>IF('채점'!$C26="결시","결시",IF('채점'!Q$45&lt;&gt;"등록","정답 미등록",IF('채점'!Q26="","미응답",IF(NOT(ISNUMBER('채점'!Q26)),"잘못된 입력",IF(OR('채점'!Q26&lt;1,'채점'!Q26&gt;4,MOD('채점'!Q26,1)&lt;&gt;0),"잘못된 입력",IF('채점'!Q26='채점'!Q$8,"정답","오답"))))))</x:f>
        <x:v>오답</x:v>
      </x:c>
      <x:c r="R24" s="2" t="str">
        <x:f>IF('채점'!$C26="결시","결시",IF('채점'!R$45&lt;&gt;"등록","정답 미등록",IF('채점'!R26="","미응답",IF(NOT(ISNUMBER('채점'!R26)),"잘못된 입력",IF(OR('채점'!R26&lt;1,'채점'!R26&gt;4,MOD('채점'!R26,1)&lt;&gt;0),"잘못된 입력",IF('채점'!R26='채점'!R$8,"정답","오답"))))))</x:f>
        <x:v>정답</x:v>
      </x:c>
      <x:c r="S24" s="2" t="str">
        <x:f>IF('채점'!$C26="결시","결시",IF('채점'!S$45&lt;&gt;"등록","정답 미등록",IF('채점'!S26="","미응답",IF(NOT(ISNUMBER('채점'!S26)),"잘못된 입력",IF(OR('채점'!S26&lt;1,'채점'!S26&gt;4,MOD('채점'!S26,1)&lt;&gt;0),"잘못된 입력",IF('채점'!S26='채점'!S$8,"정답","오답"))))))</x:f>
        <x:v>정답</x:v>
      </x:c>
      <x:c r="T24" s="2" t="str">
        <x:f>IF('채점'!$C26="결시","결시",IF('채점'!T$45&lt;&gt;"등록","정답 미등록",IF('채점'!T26="","미응답",IF(NOT(ISNUMBER('채점'!T26)),"잘못된 입력",IF(OR('채점'!T26&lt;1,'채점'!T26&gt;4,MOD('채점'!T26,1)&lt;&gt;0),"잘못된 입력",IF('채점'!T26='채점'!T$8,"정답","오답"))))))</x:f>
        <x:v>오답</x:v>
      </x:c>
      <x:c r="U24" s="2" t="str">
        <x:f>IF('채점'!$C26="결시","결시",IF('채점'!U$45&lt;&gt;"등록","정답 미등록",IF('채점'!U26="","미응답",IF(NOT(ISNUMBER('채점'!U26)),"잘못된 입력",IF(OR('채점'!U26&lt;1,'채점'!U26&gt;4,MOD('채점'!U26,1)&lt;&gt;0),"잘못된 입력",IF('채점'!U26='채점'!U$8,"정답","오답"))))))</x:f>
        <x:v>오답</x:v>
      </x:c>
      <x:c r="V24" s="2" t="str">
        <x:f>IF('채점'!$C26="결시","결시",IF('채점'!V$45&lt;&gt;"등록","정답 미등록",IF('채점'!V26="","미응답",IF(NOT(ISNUMBER('채점'!V26)),"잘못된 입력",IF(OR('채점'!V26&lt;1,'채점'!V26&gt;4,MOD('채점'!V26,1)&lt;&gt;0),"잘못된 입력",IF('채점'!V26='채점'!V$8,"정답","오답"))))))</x:f>
        <x:v>정답</x:v>
      </x:c>
      <x:c r="W24" s="2" t="str">
        <x:f>IF('채점'!$C26="결시","결시",IF('채점'!W$45&lt;&gt;"등록","정답 미등록",IF('채점'!W26="","미응답",IF(NOT(ISNUMBER('채점'!W26)),"잘못된 입력",IF(OR('채점'!W26&lt;1,'채점'!W26&gt;4,MOD('채점'!W26,1)&lt;&gt;0),"잘못된 입력",IF('채점'!W26='채점'!W$8,"정답","오답"))))))</x:f>
        <x:v>오답</x:v>
      </x:c>
      <x:c r="X24" s="2" t="str">
        <x:f>IF('채점'!$C26="결시","결시",IF('채점'!X$45&lt;&gt;"등록","정답 미등록",IF('채점'!X26="","미응답",IF(NOT(ISNUMBER('채점'!X26)),"잘못된 입력",IF(OR('채점'!X26&lt;1,'채점'!X26&gt;4,MOD('채점'!X26,1)&lt;&gt;0),"잘못된 입력",IF('채점'!X26='채점'!X$8,"정답","오답"))))))</x:f>
        <x:v>오답</x:v>
      </x:c>
      <x:c r="Y24" s="2" t="str">
        <x:f>IF('채점'!$C26="결시","결시",IF('채점'!Y$45&lt;&gt;"등록","정답 미등록",IF('채점'!Y26="","미응답",IF(NOT(ISNUMBER('채점'!Y26)),"잘못된 입력",IF(OR('채점'!Y26&lt;1,'채점'!Y26&gt;4,MOD('채점'!Y26,1)&lt;&gt;0),"잘못된 입력",IF('채점'!Y26='채점'!Y$8,"정답","오답"))))))</x:f>
        <x:v>정답</x:v>
      </x:c>
      <x:c r="Z24" s="2" t="str">
        <x:f>IF('채점'!$C26="결시","결시",IF('채점'!Z$45&lt;&gt;"등록","정답 미등록",IF('채점'!Z26="","미응답",IF(NOT(ISNUMBER('채점'!Z26)),"잘못된 입력",IF(OR('채점'!Z26&lt;1,'채점'!Z26&gt;4,MOD('채점'!Z26,1)&lt;&gt;0),"잘못된 입력",IF('채점'!Z26='채점'!Z$8,"정답","오답"))))))</x:f>
        <x:v>정답</x:v>
      </x:c>
      <x:c r="AA24" s="2" t="str">
        <x:f>IF('채점'!$C26="결시","결시",IF('채점'!AA$45&lt;&gt;"등록","정답 미등록",IF('채점'!AA26="","미응답",IF(NOT(ISNUMBER('채점'!AA26)),"잘못된 입력",IF(OR('채점'!AA26&lt;1,'채점'!AA26&gt;4,MOD('채점'!AA26,1)&lt;&gt;0),"잘못된 입력",IF('채점'!AA26='채점'!AA$8,"정답","오답"))))))</x:f>
        <x:v>오답</x:v>
      </x:c>
      <x:c r="AB24" s="2" t="str">
        <x:f>IF('채점'!$C26="결시","결시",IF('채점'!AB$45&lt;&gt;"등록","정답 미등록",IF('채점'!AB26="","미응답",IF(NOT(ISNUMBER('채점'!AB26)),"잘못된 입력",IF(OR('채점'!AB26&lt;1,'채점'!AB26&gt;4,MOD('채점'!AB26,1)&lt;&gt;0),"잘못된 입력",IF('채점'!AB26='채점'!AB$8,"정답","오답"))))))</x:f>
        <x:v>정답</x:v>
      </x:c>
      <x:c r="AC24" s="2" t="str">
        <x:f>IF('채점'!$C26="결시","결시",IF('채점'!AC$45&lt;&gt;"등록","정답 미등록",IF('채점'!AC26="","미응답",IF(NOT(ISNUMBER('채점'!AC26)),"잘못된 입력",IF(OR('채점'!AC26&lt;1,'채점'!AC26&gt;4,MOD('채점'!AC26,1)&lt;&gt;0),"잘못된 입력",IF('채점'!AC26='채점'!AC$8,"정답","오답"))))))</x:f>
        <x:v>정답</x:v>
      </x:c>
      <x:c r="AD24" s="2" t="str">
        <x:f>IF('채점'!$C26="결시","결시",IF('채점'!AD$45&lt;&gt;"등록","정답 미등록",IF('채점'!AD26="","미응답",IF(NOT(ISNUMBER('채점'!AD26)),"잘못된 입력",IF(OR('채점'!AD26&lt;1,'채점'!AD26&gt;4,MOD('채점'!AD26,1)&lt;&gt;0),"잘못된 입력",IF('채점'!AD26='채점'!AD$8,"정답","오답"))))))</x:f>
        <x:v>오답</x:v>
      </x:c>
      <x:c r="AE24" s="2" t="str">
        <x:f>IF('채점'!$C26="결시","결시",IF('채점'!AE$45&lt;&gt;"등록","정답 미등록",IF('채점'!AE26="","미응답",IF(NOT(ISNUMBER('채점'!AE26)),"잘못된 입력",IF(OR('채점'!AE26&lt;1,'채점'!AE26&gt;4,MOD('채점'!AE26,1)&lt;&gt;0),"잘못된 입력",IF('채점'!AE26='채점'!AE$8,"정답","오답"))))))</x:f>
        <x:v>오답</x:v>
      </x:c>
      <x:c r="AF24" s="2" t="str">
        <x:f>IF('채점'!$C26="결시","결시",IF('채점'!AF$45&lt;&gt;"등록","정답 미등록",IF('채점'!AF26="","미응답",IF(NOT(ISNUMBER('채점'!AF26)),"잘못된 입력",IF(OR('채점'!AF26&lt;1,'채점'!AF26&gt;4,MOD('채점'!AF26,1)&lt;&gt;0),"잘못된 입력",IF('채점'!AF26='채점'!AF$8,"정답","오답"))))))</x:f>
        <x:v>정답</x:v>
      </x:c>
      <x:c r="AG24" s="2" t="str">
        <x:f>IF('채점'!$C26="결시","결시",IF('채점'!AG$45&lt;&gt;"등록","정답 미등록",IF('채점'!AG26="","미응답",IF(NOT(ISNUMBER('채점'!AG26)),"잘못된 입력",IF(OR('채점'!AG26&lt;1,'채점'!AG26&gt;4,MOD('채점'!AG26,1)&lt;&gt;0),"잘못된 입력",IF('채점'!AG26='채점'!AG$8,"정답","오답"))))))</x:f>
        <x:v>오답</x:v>
      </x:c>
      <x:c r="AH24" s="2" t="str">
        <x:f>IF('채점'!$C26="결시","결시",IF('채점'!AH$45&lt;&gt;"등록","정답 미등록",IF('채점'!AH26="","미응답",IF(NOT(ISNUMBER('채점'!AH26)),"잘못된 입력",IF(OR('채점'!AH26&lt;1,'채점'!AH26&gt;4,MOD('채점'!AH26,1)&lt;&gt;0),"잘못된 입력",IF('채점'!AH26='채점'!AH$8,"정답","오답"))))))</x:f>
        <x:v>오답</x:v>
      </x:c>
      <x:c r="AI24" s="2" t="str">
        <x:f>IF('채점'!$C26="결시","결시",IF('채점'!AI$45&lt;&gt;"등록","정답 미등록",IF('채점'!AI26="","미응답",IF(NOT(ISNUMBER('채점'!AI26)),"잘못된 입력",IF(OR('채점'!AI26&lt;1,'채점'!AI26&gt;4,MOD('채점'!AI26,1)&lt;&gt;0),"잘못된 입력",IF('채점'!AI26='채점'!AI$8,"정답","오답"))))))</x:f>
        <x:v>정답</x:v>
      </x:c>
      <x:c r="AJ24" s="2" t="str">
        <x:f>IF('채점'!$C26="결시","결시",IF('채점'!AJ$45&lt;&gt;"등록","정답 미등록",IF('채점'!AJ26="","미응답",IF(NOT(ISNUMBER('채점'!AJ26)),"잘못된 입력",IF(OR('채점'!AJ26&lt;1,'채점'!AJ26&gt;4,MOD('채점'!AJ26,1)&lt;&gt;0),"잘못된 입력",IF('채점'!AJ26='채점'!AJ$8,"정답","오답"))))))</x:f>
        <x:v>정답</x:v>
      </x:c>
      <x:c r="AK24" s="2" t="str">
        <x:f>IF('채점'!$C26="결시","결시",IF('채점'!AK$45&lt;&gt;"등록","정답 미등록",IF('채점'!AK26="","미응답",IF(NOT(ISNUMBER('채점'!AK26)),"잘못된 입력",IF(OR('채점'!AK26&lt;1,'채점'!AK26&gt;4,MOD('채점'!AK26,1)&lt;&gt;0),"잘못된 입력",IF('채점'!AK26='채점'!AK$8,"정답","오답"))))))</x:f>
        <x:v>오답</x:v>
      </x:c>
      <x:c r="AL24" s="2" t="str">
        <x:f>IF('채점'!$C26="결시","결시",IF('채점'!AL$45&lt;&gt;"등록","정답 미등록",IF('채점'!AL26="","미응답",IF(NOT(ISNUMBER('채점'!AL26)),"잘못된 입력",IF(OR('채점'!AL26&lt;1,'채점'!AL26&gt;4,MOD('채점'!AL26,1)&lt;&gt;0),"잘못된 입력",IF('채점'!AL26='채점'!AL$8,"정답","오답"))))))</x:f>
        <x:v>정답</x:v>
      </x:c>
      <x:c r="AM24" s="2" t="str">
        <x:f>IF('채점'!$C26="결시","결시",IF('채점'!AM$45&lt;&gt;"등록","정답 미등록",IF('채점'!AM26="","미응답",IF(NOT(ISNUMBER('채점'!AM26)),"잘못된 입력",IF(OR('채점'!AM26&lt;1,'채점'!AM26&gt;4,MOD('채점'!AM26,1)&lt;&gt;0),"잘못된 입력",IF('채점'!AM26='채점'!AM$8,"정답","오답"))))))</x:f>
        <x:v>정답</x:v>
      </x:c>
      <x:c r="AN24" s="2" t="str">
        <x:f>IF('채점'!$C26="결시","결시",IF('채점'!AN$45&lt;&gt;"등록","정답 미등록",IF('채점'!AN26="","미응답",IF(NOT(ISNUMBER('채점'!AN26)),"잘못된 입력",IF(OR('채점'!AN26&lt;1,'채점'!AN26&gt;4,MOD('채점'!AN26,1)&lt;&gt;0),"잘못된 입력",IF('채점'!AN26='채점'!AN$8,"정답","오답"))))))</x:f>
        <x:v>오답</x:v>
      </x:c>
      <x:c r="AO24" s="2" t="str">
        <x:f>IF('채점'!$C26="결시","결시",IF('채점'!AO$45&lt;&gt;"등록","정답 미등록",IF('채점'!AO26="","미응답",IF(NOT(ISNUMBER('채점'!AO26)),"잘못된 입력",IF(OR('채점'!AO26&lt;1,'채점'!AO26&gt;4,MOD('채점'!AO26,1)&lt;&gt;0),"잘못된 입력",IF('채점'!AO26='채점'!AO$8,"정답","오답"))))))</x:f>
        <x:v>오답</x:v>
      </x:c>
      <x:c r="AP24" s="2" t="str">
        <x:f>IF('채점'!$C26="결시","결시",IF('채점'!AP$45&lt;&gt;"등록","정답 미등록",IF('채점'!AP26="","미응답",IF(NOT(ISNUMBER('채점'!AP26)),"잘못된 입력",IF(OR('채점'!AP26&lt;1,'채점'!AP26&gt;4,MOD('채점'!AP26,1)&lt;&gt;0),"잘못된 입력",IF('채점'!AP26='채점'!AP$8,"정답","오답"))))))</x:f>
        <x:v>정답</x:v>
      </x:c>
      <x:c r="AQ24" s="2" t="str">
        <x:f>IF('채점'!$C26="결시","결시",IF('채점'!AQ$45&lt;&gt;"등록","정답 미등록",IF('채점'!AQ26="","미응답",IF(NOT(ISNUMBER('채점'!AQ26)),"잘못된 입력",IF(OR('채점'!AQ26&lt;1,'채점'!AQ26&gt;4,MOD('채점'!AQ26,1)&lt;&gt;0),"잘못된 입력",IF('채점'!AQ26='채점'!AQ$8,"정답","오답"))))))</x:f>
        <x:v>오답</x:v>
      </x:c>
    </x:row>
    <x:row r="25" ht="25" customHeight="1">
      <x:c r="A25" s="2" t="str">
        <x:f>'채점'!A27</x:f>
        <x:v>S018</x:v>
      </x:c>
      <x:c r="B25" s="2" t="str">
        <x:f>'채점'!C27</x:f>
        <x:v>응시</x:v>
      </x:c>
      <x:c r="C25" s="2"/>
      <x:c r="D25" s="2" t="str">
        <x:f>IF('채점'!$C27="결시","결시",IF('채점'!D$45&lt;&gt;"등록","정답 미등록",IF('채점'!D27="","미응답",IF(NOT(ISNUMBER('채점'!D27)),"잘못된 입력",IF(OR('채점'!D27&lt;1,'채점'!D27&gt;4,MOD('채점'!D27,1)&lt;&gt;0),"잘못된 입력",IF('채점'!D27='채점'!D$8,"정답","오답"))))))</x:f>
        <x:v>오답</x:v>
      </x:c>
      <x:c r="E25" s="2" t="str">
        <x:f>IF('채점'!$C27="결시","결시",IF('채점'!E$45&lt;&gt;"등록","정답 미등록",IF('채점'!E27="","미응답",IF(NOT(ISNUMBER('채점'!E27)),"잘못된 입력",IF(OR('채점'!E27&lt;1,'채점'!E27&gt;4,MOD('채점'!E27,1)&lt;&gt;0),"잘못된 입력",IF('채점'!E27='채점'!E$8,"정답","오답"))))))</x:f>
        <x:v>정답</x:v>
      </x:c>
      <x:c r="F25" s="2" t="str">
        <x:f>IF('채점'!$C27="결시","결시",IF('채점'!F$45&lt;&gt;"등록","정답 미등록",IF('채점'!F27="","미응답",IF(NOT(ISNUMBER('채점'!F27)),"잘못된 입력",IF(OR('채점'!F27&lt;1,'채점'!F27&gt;4,MOD('채점'!F27,1)&lt;&gt;0),"잘못된 입력",IF('채점'!F27='채점'!F$8,"정답","오답"))))))</x:f>
        <x:v>정답</x:v>
      </x:c>
      <x:c r="G25" s="2" t="str">
        <x:f>IF('채점'!$C27="결시","결시",IF('채점'!G$45&lt;&gt;"등록","정답 미등록",IF('채점'!G27="","미응답",IF(NOT(ISNUMBER('채점'!G27)),"잘못된 입력",IF(OR('채점'!G27&lt;1,'채점'!G27&gt;4,MOD('채점'!G27,1)&lt;&gt;0),"잘못된 입력",IF('채점'!G27='채점'!G$8,"정답","오답"))))))</x:f>
        <x:v>오답</x:v>
      </x:c>
      <x:c r="H25" s="2" t="str">
        <x:f>IF('채점'!$C27="결시","결시",IF('채점'!H$45&lt;&gt;"등록","정답 미등록",IF('채점'!H27="","미응답",IF(NOT(ISNUMBER('채점'!H27)),"잘못된 입력",IF(OR('채점'!H27&lt;1,'채점'!H27&gt;4,MOD('채점'!H27,1)&lt;&gt;0),"잘못된 입력",IF('채점'!H27='채점'!H$8,"정답","오답"))))))</x:f>
        <x:v>정답</x:v>
      </x:c>
      <x:c r="I25" s="2" t="str">
        <x:f>IF('채점'!$C27="결시","결시",IF('채점'!I$45&lt;&gt;"등록","정답 미등록",IF('채점'!I27="","미응답",IF(NOT(ISNUMBER('채점'!I27)),"잘못된 입력",IF(OR('채점'!I27&lt;1,'채점'!I27&gt;4,MOD('채점'!I27,1)&lt;&gt;0),"잘못된 입력",IF('채점'!I27='채점'!I$8,"정답","오답"))))))</x:f>
        <x:v>정답</x:v>
      </x:c>
      <x:c r="J25" s="2" t="str">
        <x:f>IF('채점'!$C27="결시","결시",IF('채점'!J$45&lt;&gt;"등록","정답 미등록",IF('채점'!J27="","미응답",IF(NOT(ISNUMBER('채점'!J27)),"잘못된 입력",IF(OR('채점'!J27&lt;1,'채점'!J27&gt;4,MOD('채점'!J27,1)&lt;&gt;0),"잘못된 입력",IF('채점'!J27='채점'!J$8,"정답","오답"))))))</x:f>
        <x:v>오답</x:v>
      </x:c>
      <x:c r="K25" s="2" t="str">
        <x:f>IF('채점'!$C27="결시","결시",IF('채점'!K$45&lt;&gt;"등록","정답 미등록",IF('채점'!K27="","미응답",IF(NOT(ISNUMBER('채점'!K27)),"잘못된 입력",IF(OR('채점'!K27&lt;1,'채점'!K27&gt;4,MOD('채점'!K27,1)&lt;&gt;0),"잘못된 입력",IF('채점'!K27='채점'!K$8,"정답","오답"))))))</x:f>
        <x:v>오답</x:v>
      </x:c>
      <x:c r="L25" s="2" t="str">
        <x:f>IF('채점'!$C27="결시","결시",IF('채점'!L$45&lt;&gt;"등록","정답 미등록",IF('채점'!L27="","미응답",IF(NOT(ISNUMBER('채점'!L27)),"잘못된 입력",IF(OR('채점'!L27&lt;1,'채점'!L27&gt;4,MOD('채점'!L27,1)&lt;&gt;0),"잘못된 입력",IF('채점'!L27='채점'!L$8,"정답","오답"))))))</x:f>
        <x:v>정답</x:v>
      </x:c>
      <x:c r="M25" s="2" t="str">
        <x:f>IF('채점'!$C27="결시","결시",IF('채점'!M$45&lt;&gt;"등록","정답 미등록",IF('채점'!M27="","미응답",IF(NOT(ISNUMBER('채점'!M27)),"잘못된 입력",IF(OR('채점'!M27&lt;1,'채점'!M27&gt;4,MOD('채점'!M27,1)&lt;&gt;0),"잘못된 입력",IF('채점'!M27='채점'!M$8,"정답","오답"))))))</x:f>
        <x:v>정답</x:v>
      </x:c>
      <x:c r="N25" s="2" t="str">
        <x:f>IF('채점'!$C27="결시","결시",IF('채점'!N$45&lt;&gt;"등록","정답 미등록",IF('채점'!N27="","미응답",IF(NOT(ISNUMBER('채점'!N27)),"잘못된 입력",IF(OR('채점'!N27&lt;1,'채점'!N27&gt;4,MOD('채점'!N27,1)&lt;&gt;0),"잘못된 입력",IF('채점'!N27='채점'!N$8,"정답","오답"))))))</x:f>
        <x:v>오답</x:v>
      </x:c>
      <x:c r="O25" s="2" t="str">
        <x:f>IF('채점'!$C27="결시","결시",IF('채점'!O$45&lt;&gt;"등록","정답 미등록",IF('채점'!O27="","미응답",IF(NOT(ISNUMBER('채점'!O27)),"잘못된 입력",IF(OR('채점'!O27&lt;1,'채점'!O27&gt;4,MOD('채점'!O27,1)&lt;&gt;0),"잘못된 입력",IF('채점'!O27='채점'!O$8,"정답","오답"))))))</x:f>
        <x:v>정답</x:v>
      </x:c>
      <x:c r="P25" s="2" t="str">
        <x:f>IF('채점'!$C27="결시","결시",IF('채점'!P$45&lt;&gt;"등록","정답 미등록",IF('채점'!P27="","미응답",IF(NOT(ISNUMBER('채점'!P27)),"잘못된 입력",IF(OR('채점'!P27&lt;1,'채점'!P27&gt;4,MOD('채점'!P27,1)&lt;&gt;0),"잘못된 입력",IF('채점'!P27='채점'!P$8,"정답","오답"))))))</x:f>
        <x:v>정답</x:v>
      </x:c>
      <x:c r="Q25" s="2" t="str">
        <x:f>IF('채점'!$C27="결시","결시",IF('채점'!Q$45&lt;&gt;"등록","정답 미등록",IF('채점'!Q27="","미응답",IF(NOT(ISNUMBER('채점'!Q27)),"잘못된 입력",IF(OR('채점'!Q27&lt;1,'채점'!Q27&gt;4,MOD('채점'!Q27,1)&lt;&gt;0),"잘못된 입력",IF('채점'!Q27='채점'!Q$8,"정답","오답"))))))</x:f>
        <x:v>오답</x:v>
      </x:c>
      <x:c r="R25" s="2" t="str">
        <x:f>IF('채점'!$C27="결시","결시",IF('채점'!R$45&lt;&gt;"등록","정답 미등록",IF('채점'!R27="","미응답",IF(NOT(ISNUMBER('채점'!R27)),"잘못된 입력",IF(OR('채점'!R27&lt;1,'채점'!R27&gt;4,MOD('채점'!R27,1)&lt;&gt;0),"잘못된 입력",IF('채점'!R27='채점'!R$8,"정답","오답"))))))</x:f>
        <x:v>정답</x:v>
      </x:c>
      <x:c r="S25" s="2" t="str">
        <x:f>IF('채점'!$C27="결시","결시",IF('채점'!S$45&lt;&gt;"등록","정답 미등록",IF('채점'!S27="","미응답",IF(NOT(ISNUMBER('채점'!S27)),"잘못된 입력",IF(OR('채점'!S27&lt;1,'채점'!S27&gt;4,MOD('채점'!S27,1)&lt;&gt;0),"잘못된 입력",IF('채점'!S27='채점'!S$8,"정답","오답"))))))</x:f>
        <x:v>정답</x:v>
      </x:c>
      <x:c r="T25" s="2" t="str">
        <x:f>IF('채점'!$C27="결시","결시",IF('채점'!T$45&lt;&gt;"등록","정답 미등록",IF('채점'!T27="","미응답",IF(NOT(ISNUMBER('채점'!T27)),"잘못된 입력",IF(OR('채점'!T27&lt;1,'채점'!T27&gt;4,MOD('채점'!T27,1)&lt;&gt;0),"잘못된 입력",IF('채점'!T27='채점'!T$8,"정답","오답"))))))</x:f>
        <x:v>오답</x:v>
      </x:c>
      <x:c r="U25" s="2" t="str">
        <x:f>IF('채점'!$C27="결시","결시",IF('채점'!U$45&lt;&gt;"등록","정답 미등록",IF('채점'!U27="","미응답",IF(NOT(ISNUMBER('채점'!U27)),"잘못된 입력",IF(OR('채점'!U27&lt;1,'채점'!U27&gt;4,MOD('채점'!U27,1)&lt;&gt;0),"잘못된 입력",IF('채점'!U27='채점'!U$8,"정답","오답"))))))</x:f>
        <x:v>오답</x:v>
      </x:c>
      <x:c r="V25" s="2" t="str">
        <x:f>IF('채점'!$C27="결시","결시",IF('채점'!V$45&lt;&gt;"등록","정답 미등록",IF('채점'!V27="","미응답",IF(NOT(ISNUMBER('채점'!V27)),"잘못된 입력",IF(OR('채점'!V27&lt;1,'채점'!V27&gt;4,MOD('채점'!V27,1)&lt;&gt;0),"잘못된 입력",IF('채점'!V27='채점'!V$8,"정답","오답"))))))</x:f>
        <x:v>정답</x:v>
      </x:c>
      <x:c r="W25" s="2" t="str">
        <x:f>IF('채점'!$C27="결시","결시",IF('채점'!W$45&lt;&gt;"등록","정답 미등록",IF('채점'!W27="","미응답",IF(NOT(ISNUMBER('채점'!W27)),"잘못된 입력",IF(OR('채점'!W27&lt;1,'채점'!W27&gt;4,MOD('채점'!W27,1)&lt;&gt;0),"잘못된 입력",IF('채점'!W27='채점'!W$8,"정답","오답"))))))</x:f>
        <x:v>정답</x:v>
      </x:c>
      <x:c r="X25" s="2" t="str">
        <x:f>IF('채점'!$C27="결시","결시",IF('채점'!X$45&lt;&gt;"등록","정답 미등록",IF('채점'!X27="","미응답",IF(NOT(ISNUMBER('채점'!X27)),"잘못된 입력",IF(OR('채점'!X27&lt;1,'채점'!X27&gt;4,MOD('채점'!X27,1)&lt;&gt;0),"잘못된 입력",IF('채점'!X27='채점'!X$8,"정답","오답"))))))</x:f>
        <x:v>오답</x:v>
      </x:c>
      <x:c r="Y25" s="2" t="str">
        <x:f>IF('채점'!$C27="결시","결시",IF('채점'!Y$45&lt;&gt;"등록","정답 미등록",IF('채점'!Y27="","미응답",IF(NOT(ISNUMBER('채점'!Y27)),"잘못된 입력",IF(OR('채점'!Y27&lt;1,'채점'!Y27&gt;4,MOD('채점'!Y27,1)&lt;&gt;0),"잘못된 입력",IF('채점'!Y27='채점'!Y$8,"정답","오답"))))))</x:f>
        <x:v>정답</x:v>
      </x:c>
      <x:c r="Z25" s="2" t="str">
        <x:f>IF('채점'!$C27="결시","결시",IF('채점'!Z$45&lt;&gt;"등록","정답 미등록",IF('채점'!Z27="","미응답",IF(NOT(ISNUMBER('채점'!Z27)),"잘못된 입력",IF(OR('채점'!Z27&lt;1,'채점'!Z27&gt;4,MOD('채점'!Z27,1)&lt;&gt;0),"잘못된 입력",IF('채점'!Z27='채점'!Z$8,"정답","오답"))))))</x:f>
        <x:v>정답</x:v>
      </x:c>
      <x:c r="AA25" s="2" t="str">
        <x:f>IF('채점'!$C27="결시","결시",IF('채점'!AA$45&lt;&gt;"등록","정답 미등록",IF('채점'!AA27="","미응답",IF(NOT(ISNUMBER('채점'!AA27)),"잘못된 입력",IF(OR('채점'!AA27&lt;1,'채점'!AA27&gt;4,MOD('채점'!AA27,1)&lt;&gt;0),"잘못된 입력",IF('채점'!AA27='채점'!AA$8,"정답","오답"))))))</x:f>
        <x:v>오답</x:v>
      </x:c>
      <x:c r="AB25" s="2" t="str">
        <x:f>IF('채점'!$C27="결시","결시",IF('채점'!AB$45&lt;&gt;"등록","정답 미등록",IF('채점'!AB27="","미응답",IF(NOT(ISNUMBER('채점'!AB27)),"잘못된 입력",IF(OR('채점'!AB27&lt;1,'채점'!AB27&gt;4,MOD('채점'!AB27,1)&lt;&gt;0),"잘못된 입력",IF('채점'!AB27='채점'!AB$8,"정답","오답"))))))</x:f>
        <x:v>정답</x:v>
      </x:c>
      <x:c r="AC25" s="2" t="str">
        <x:f>IF('채점'!$C27="결시","결시",IF('채점'!AC$45&lt;&gt;"등록","정답 미등록",IF('채점'!AC27="","미응답",IF(NOT(ISNUMBER('채점'!AC27)),"잘못된 입력",IF(OR('채점'!AC27&lt;1,'채점'!AC27&gt;4,MOD('채점'!AC27,1)&lt;&gt;0),"잘못된 입력",IF('채점'!AC27='채점'!AC$8,"정답","오답"))))))</x:f>
        <x:v>정답</x:v>
      </x:c>
      <x:c r="AD25" s="2" t="str">
        <x:f>IF('채점'!$C27="결시","결시",IF('채점'!AD$45&lt;&gt;"등록","정답 미등록",IF('채점'!AD27="","미응답",IF(NOT(ISNUMBER('채점'!AD27)),"잘못된 입력",IF(OR('채점'!AD27&lt;1,'채점'!AD27&gt;4,MOD('채점'!AD27,1)&lt;&gt;0),"잘못된 입력",IF('채점'!AD27='채점'!AD$8,"정답","오답"))))))</x:f>
        <x:v>오답</x:v>
      </x:c>
      <x:c r="AE25" s="2" t="str">
        <x:f>IF('채점'!$C27="결시","결시",IF('채점'!AE$45&lt;&gt;"등록","정답 미등록",IF('채점'!AE27="","미응답",IF(NOT(ISNUMBER('채점'!AE27)),"잘못된 입력",IF(OR('채점'!AE27&lt;1,'채점'!AE27&gt;4,MOD('채점'!AE27,1)&lt;&gt;0),"잘못된 입력",IF('채점'!AE27='채점'!AE$8,"정답","오답"))))))</x:f>
        <x:v>오답</x:v>
      </x:c>
      <x:c r="AF25" s="2" t="str">
        <x:f>IF('채점'!$C27="결시","결시",IF('채점'!AF$45&lt;&gt;"등록","정답 미등록",IF('채점'!AF27="","미응답",IF(NOT(ISNUMBER('채점'!AF27)),"잘못된 입력",IF(OR('채점'!AF27&lt;1,'채점'!AF27&gt;4,MOD('채점'!AF27,1)&lt;&gt;0),"잘못된 입력",IF('채점'!AF27='채점'!AF$8,"정답","오답"))))))</x:f>
        <x:v>정답</x:v>
      </x:c>
      <x:c r="AG25" s="2" t="str">
        <x:f>IF('채점'!$C27="결시","결시",IF('채점'!AG$45&lt;&gt;"등록","정답 미등록",IF('채점'!AG27="","미응답",IF(NOT(ISNUMBER('채점'!AG27)),"잘못된 입력",IF(OR('채점'!AG27&lt;1,'채점'!AG27&gt;4,MOD('채점'!AG27,1)&lt;&gt;0),"잘못된 입력",IF('채점'!AG27='채점'!AG$8,"정답","오답"))))))</x:f>
        <x:v>정답</x:v>
      </x:c>
      <x:c r="AH25" s="2" t="str">
        <x:f>IF('채점'!$C27="결시","결시",IF('채점'!AH$45&lt;&gt;"등록","정답 미등록",IF('채점'!AH27="","미응답",IF(NOT(ISNUMBER('채점'!AH27)),"잘못된 입력",IF(OR('채점'!AH27&lt;1,'채점'!AH27&gt;4,MOD('채점'!AH27,1)&lt;&gt;0),"잘못된 입력",IF('채점'!AH27='채점'!AH$8,"정답","오답"))))))</x:f>
        <x:v>오답</x:v>
      </x:c>
      <x:c r="AI25" s="2" t="str">
        <x:f>IF('채점'!$C27="결시","결시",IF('채점'!AI$45&lt;&gt;"등록","정답 미등록",IF('채점'!AI27="","미응답",IF(NOT(ISNUMBER('채점'!AI27)),"잘못된 입력",IF(OR('채점'!AI27&lt;1,'채점'!AI27&gt;4,MOD('채점'!AI27,1)&lt;&gt;0),"잘못된 입력",IF('채점'!AI27='채점'!AI$8,"정답","오답"))))))</x:f>
        <x:v>정답</x:v>
      </x:c>
      <x:c r="AJ25" s="2" t="str">
        <x:f>IF('채점'!$C27="결시","결시",IF('채점'!AJ$45&lt;&gt;"등록","정답 미등록",IF('채점'!AJ27="","미응답",IF(NOT(ISNUMBER('채점'!AJ27)),"잘못된 입력",IF(OR('채점'!AJ27&lt;1,'채점'!AJ27&gt;4,MOD('채점'!AJ27,1)&lt;&gt;0),"잘못된 입력",IF('채점'!AJ27='채점'!AJ$8,"정답","오답"))))))</x:f>
        <x:v>정답</x:v>
      </x:c>
      <x:c r="AK25" s="2" t="str">
        <x:f>IF('채점'!$C27="결시","결시",IF('채점'!AK$45&lt;&gt;"등록","정답 미등록",IF('채점'!AK27="","미응답",IF(NOT(ISNUMBER('채점'!AK27)),"잘못된 입력",IF(OR('채점'!AK27&lt;1,'채점'!AK27&gt;4,MOD('채점'!AK27,1)&lt;&gt;0),"잘못된 입력",IF('채점'!AK27='채점'!AK$8,"정답","오답"))))))</x:f>
        <x:v>오답</x:v>
      </x:c>
      <x:c r="AL25" s="2" t="str">
        <x:f>IF('채점'!$C27="결시","결시",IF('채점'!AL$45&lt;&gt;"등록","정답 미등록",IF('채점'!AL27="","미응답",IF(NOT(ISNUMBER('채점'!AL27)),"잘못된 입력",IF(OR('채점'!AL27&lt;1,'채점'!AL27&gt;4,MOD('채점'!AL27,1)&lt;&gt;0),"잘못된 입력",IF('채점'!AL27='채점'!AL$8,"정답","오답"))))))</x:f>
        <x:v>정답</x:v>
      </x:c>
      <x:c r="AM25" s="2" t="str">
        <x:f>IF('채점'!$C27="결시","결시",IF('채점'!AM$45&lt;&gt;"등록","정답 미등록",IF('채점'!AM27="","미응답",IF(NOT(ISNUMBER('채점'!AM27)),"잘못된 입력",IF(OR('채점'!AM27&lt;1,'채점'!AM27&gt;4,MOD('채점'!AM27,1)&lt;&gt;0),"잘못된 입력",IF('채점'!AM27='채점'!AM$8,"정답","오답"))))))</x:f>
        <x:v>정답</x:v>
      </x:c>
      <x:c r="AN25" s="2" t="str">
        <x:f>IF('채점'!$C27="결시","결시",IF('채점'!AN$45&lt;&gt;"등록","정답 미등록",IF('채점'!AN27="","미응답",IF(NOT(ISNUMBER('채점'!AN27)),"잘못된 입력",IF(OR('채점'!AN27&lt;1,'채점'!AN27&gt;4,MOD('채점'!AN27,1)&lt;&gt;0),"잘못된 입력",IF('채점'!AN27='채점'!AN$8,"정답","오답"))))))</x:f>
        <x:v>오답</x:v>
      </x:c>
      <x:c r="AO25" s="2" t="str">
        <x:f>IF('채점'!$C27="결시","결시",IF('채점'!AO$45&lt;&gt;"등록","정답 미등록",IF('채점'!AO27="","미응답",IF(NOT(ISNUMBER('채점'!AO27)),"잘못된 입력",IF(OR('채점'!AO27&lt;1,'채점'!AO27&gt;4,MOD('채점'!AO27,1)&lt;&gt;0),"잘못된 입력",IF('채점'!AO27='채점'!AO$8,"정답","오답"))))))</x:f>
        <x:v>오답</x:v>
      </x:c>
      <x:c r="AP25" s="2" t="str">
        <x:f>IF('채점'!$C27="결시","결시",IF('채점'!AP$45&lt;&gt;"등록","정답 미등록",IF('채점'!AP27="","미응답",IF(NOT(ISNUMBER('채점'!AP27)),"잘못된 입력",IF(OR('채점'!AP27&lt;1,'채점'!AP27&gt;4,MOD('채점'!AP27,1)&lt;&gt;0),"잘못된 입력",IF('채점'!AP27='채점'!AP$8,"정답","오답"))))))</x:f>
        <x:v>정답</x:v>
      </x:c>
      <x:c r="AQ25" s="2" t="str">
        <x:f>IF('채점'!$C27="결시","결시",IF('채점'!AQ$45&lt;&gt;"등록","정답 미등록",IF('채점'!AQ27="","미응답",IF(NOT(ISNUMBER('채점'!AQ27)),"잘못된 입력",IF(OR('채점'!AQ27&lt;1,'채점'!AQ27&gt;4,MOD('채점'!AQ27,1)&lt;&gt;0),"잘못된 입력",IF('채점'!AQ27='채점'!AQ$8,"정답","오답"))))))</x:f>
        <x:v>정답</x:v>
      </x:c>
    </x:row>
    <x:row r="26" ht="25" customHeight="1">
      <x:c r="A26" s="2" t="str">
        <x:f>'채점'!A28</x:f>
        <x:v>S019</x:v>
      </x:c>
      <x:c r="B26" s="2" t="str">
        <x:f>'채점'!C28</x:f>
        <x:v>응시</x:v>
      </x:c>
      <x:c r="C26" s="2"/>
      <x:c r="D26" s="2" t="str">
        <x:f>IF('채점'!$C28="결시","결시",IF('채점'!D$45&lt;&gt;"등록","정답 미등록",IF('채점'!D28="","미응답",IF(NOT(ISNUMBER('채점'!D28)),"잘못된 입력",IF(OR('채점'!D28&lt;1,'채점'!D28&gt;4,MOD('채점'!D28,1)&lt;&gt;0),"잘못된 입력",IF('채점'!D28='채점'!D$8,"정답","오답"))))))</x:f>
        <x:v>오답</x:v>
      </x:c>
      <x:c r="E26" s="2" t="str">
        <x:f>IF('채점'!$C28="결시","결시",IF('채점'!E$45&lt;&gt;"등록","정답 미등록",IF('채점'!E28="","미응답",IF(NOT(ISNUMBER('채점'!E28)),"잘못된 입력",IF(OR('채점'!E28&lt;1,'채점'!E28&gt;4,MOD('채점'!E28,1)&lt;&gt;0),"잘못된 입력",IF('채점'!E28='채점'!E$8,"정답","오답"))))))</x:f>
        <x:v>정답</x:v>
      </x:c>
      <x:c r="F26" s="2" t="str">
        <x:f>IF('채점'!$C28="결시","결시",IF('채점'!F$45&lt;&gt;"등록","정답 미등록",IF('채점'!F28="","미응답",IF(NOT(ISNUMBER('채점'!F28)),"잘못된 입력",IF(OR('채점'!F28&lt;1,'채점'!F28&gt;4,MOD('채점'!F28,1)&lt;&gt;0),"잘못된 입력",IF('채점'!F28='채점'!F$8,"정답","오답"))))))</x:f>
        <x:v>정답</x:v>
      </x:c>
      <x:c r="G26" s="2" t="str">
        <x:f>IF('채점'!$C28="결시","결시",IF('채점'!G$45&lt;&gt;"등록","정답 미등록",IF('채점'!G28="","미응답",IF(NOT(ISNUMBER('채점'!G28)),"잘못된 입력",IF(OR('채점'!G28&lt;1,'채점'!G28&gt;4,MOD('채점'!G28,1)&lt;&gt;0),"잘못된 입력",IF('채점'!G28='채점'!G$8,"정답","오답"))))))</x:f>
        <x:v>오답</x:v>
      </x:c>
      <x:c r="H26" s="2" t="str">
        <x:f>IF('채점'!$C28="결시","결시",IF('채점'!H$45&lt;&gt;"등록","정답 미등록",IF('채점'!H28="","미응답",IF(NOT(ISNUMBER('채점'!H28)),"잘못된 입력",IF(OR('채점'!H28&lt;1,'채점'!H28&gt;4,MOD('채점'!H28,1)&lt;&gt;0),"잘못된 입력",IF('채점'!H28='채점'!H$8,"정답","오답"))))))</x:f>
        <x:v>정답</x:v>
      </x:c>
      <x:c r="I26" s="2" t="str">
        <x:f>IF('채점'!$C28="결시","결시",IF('채점'!I$45&lt;&gt;"등록","정답 미등록",IF('채점'!I28="","미응답",IF(NOT(ISNUMBER('채점'!I28)),"잘못된 입력",IF(OR('채점'!I28&lt;1,'채점'!I28&gt;4,MOD('채점'!I28,1)&lt;&gt;0),"잘못된 입력",IF('채점'!I28='채점'!I$8,"정답","오답"))))))</x:f>
        <x:v>정답</x:v>
      </x:c>
      <x:c r="J26" s="2" t="str">
        <x:f>IF('채점'!$C28="결시","결시",IF('채점'!J$45&lt;&gt;"등록","정답 미등록",IF('채점'!J28="","미응답",IF(NOT(ISNUMBER('채점'!J28)),"잘못된 입력",IF(OR('채점'!J28&lt;1,'채점'!J28&gt;4,MOD('채점'!J28,1)&lt;&gt;0),"잘못된 입력",IF('채점'!J28='채점'!J$8,"정답","오답"))))))</x:f>
        <x:v>정답</x:v>
      </x:c>
      <x:c r="K26" s="2" t="str">
        <x:f>IF('채점'!$C28="결시","결시",IF('채점'!K$45&lt;&gt;"등록","정답 미등록",IF('채점'!K28="","미응답",IF(NOT(ISNUMBER('채점'!K28)),"잘못된 입력",IF(OR('채점'!K28&lt;1,'채점'!K28&gt;4,MOD('채점'!K28,1)&lt;&gt;0),"잘못된 입력",IF('채점'!K28='채점'!K$8,"정답","오답"))))))</x:f>
        <x:v>오답</x:v>
      </x:c>
      <x:c r="L26" s="2" t="str">
        <x:f>IF('채점'!$C28="결시","결시",IF('채점'!L$45&lt;&gt;"등록","정답 미등록",IF('채점'!L28="","미응답",IF(NOT(ISNUMBER('채점'!L28)),"잘못된 입력",IF(OR('채점'!L28&lt;1,'채점'!L28&gt;4,MOD('채점'!L28,1)&lt;&gt;0),"잘못된 입력",IF('채점'!L28='채점'!L$8,"정답","오답"))))))</x:f>
        <x:v>정답</x:v>
      </x:c>
      <x:c r="M26" s="2" t="str">
        <x:f>IF('채점'!$C28="결시","결시",IF('채점'!M$45&lt;&gt;"등록","정답 미등록",IF('채점'!M28="","미응답",IF(NOT(ISNUMBER('채점'!M28)),"잘못된 입력",IF(OR('채점'!M28&lt;1,'채점'!M28&gt;4,MOD('채점'!M28,1)&lt;&gt;0),"잘못된 입력",IF('채점'!M28='채점'!M$8,"정답","오답"))))))</x:f>
        <x:v>정답</x:v>
      </x:c>
      <x:c r="N26" s="2" t="str">
        <x:f>IF('채점'!$C28="결시","결시",IF('채점'!N$45&lt;&gt;"등록","정답 미등록",IF('채점'!N28="","미응답",IF(NOT(ISNUMBER('채점'!N28)),"잘못된 입력",IF(OR('채점'!N28&lt;1,'채점'!N28&gt;4,MOD('채점'!N28,1)&lt;&gt;0),"잘못된 입력",IF('채점'!N28='채점'!N$8,"정답","오답"))))))</x:f>
        <x:v>오답</x:v>
      </x:c>
      <x:c r="O26" s="2" t="str">
        <x:f>IF('채점'!$C28="결시","결시",IF('채점'!O$45&lt;&gt;"등록","정답 미등록",IF('채점'!O28="","미응답",IF(NOT(ISNUMBER('채점'!O28)),"잘못된 입력",IF(OR('채점'!O28&lt;1,'채점'!O28&gt;4,MOD('채점'!O28,1)&lt;&gt;0),"잘못된 입력",IF('채점'!O28='채점'!O$8,"정답","오답"))))))</x:f>
        <x:v>정답</x:v>
      </x:c>
      <x:c r="P26" s="2" t="str">
        <x:f>IF('채점'!$C28="결시","결시",IF('채점'!P$45&lt;&gt;"등록","정답 미등록",IF('채점'!P28="","미응답",IF(NOT(ISNUMBER('채점'!P28)),"잘못된 입력",IF(OR('채점'!P28&lt;1,'채점'!P28&gt;4,MOD('채점'!P28,1)&lt;&gt;0),"잘못된 입력",IF('채점'!P28='채점'!P$8,"정답","오답"))))))</x:f>
        <x:v>정답</x:v>
      </x:c>
      <x:c r="Q26" s="2" t="str">
        <x:f>IF('채점'!$C28="결시","결시",IF('채점'!Q$45&lt;&gt;"등록","정답 미등록",IF('채점'!Q28="","미응답",IF(NOT(ISNUMBER('채점'!Q28)),"잘못된 입력",IF(OR('채점'!Q28&lt;1,'채점'!Q28&gt;4,MOD('채점'!Q28,1)&lt;&gt;0),"잘못된 입력",IF('채점'!Q28='채점'!Q$8,"정답","오답"))))))</x:f>
        <x:v>오답</x:v>
      </x:c>
      <x:c r="R26" s="2" t="str">
        <x:f>IF('채점'!$C28="결시","결시",IF('채점'!R$45&lt;&gt;"등록","정답 미등록",IF('채점'!R28="","미응답",IF(NOT(ISNUMBER('채점'!R28)),"잘못된 입력",IF(OR('채점'!R28&lt;1,'채점'!R28&gt;4,MOD('채점'!R28,1)&lt;&gt;0),"잘못된 입력",IF('채점'!R28='채점'!R$8,"정답","오답"))))))</x:f>
        <x:v>정답</x:v>
      </x:c>
      <x:c r="S26" s="2" t="str">
        <x:f>IF('채점'!$C28="결시","결시",IF('채점'!S$45&lt;&gt;"등록","정답 미등록",IF('채점'!S28="","미응답",IF(NOT(ISNUMBER('채점'!S28)),"잘못된 입력",IF(OR('채점'!S28&lt;1,'채점'!S28&gt;4,MOD('채점'!S28,1)&lt;&gt;0),"잘못된 입력",IF('채점'!S28='채점'!S$8,"정답","오답"))))))</x:f>
        <x:v>정답</x:v>
      </x:c>
      <x:c r="T26" s="2" t="str">
        <x:f>IF('채점'!$C28="결시","결시",IF('채점'!T$45&lt;&gt;"등록","정답 미등록",IF('채점'!T28="","미응답",IF(NOT(ISNUMBER('채점'!T28)),"잘못된 입력",IF(OR('채점'!T28&lt;1,'채점'!T28&gt;4,MOD('채점'!T28,1)&lt;&gt;0),"잘못된 입력",IF('채점'!T28='채점'!T$8,"정답","오답"))))))</x:f>
        <x:v>정답</x:v>
      </x:c>
      <x:c r="U26" s="2" t="str">
        <x:f>IF('채점'!$C28="결시","결시",IF('채점'!U$45&lt;&gt;"등록","정답 미등록",IF('채점'!U28="","미응답",IF(NOT(ISNUMBER('채점'!U28)),"잘못된 입력",IF(OR('채점'!U28&lt;1,'채점'!U28&gt;4,MOD('채점'!U28,1)&lt;&gt;0),"잘못된 입력",IF('채점'!U28='채점'!U$8,"정답","오답"))))))</x:f>
        <x:v>오답</x:v>
      </x:c>
      <x:c r="V26" s="2" t="str">
        <x:f>IF('채점'!$C28="결시","결시",IF('채점'!V$45&lt;&gt;"등록","정답 미등록",IF('채점'!V28="","미응답",IF(NOT(ISNUMBER('채점'!V28)),"잘못된 입력",IF(OR('채점'!V28&lt;1,'채점'!V28&gt;4,MOD('채점'!V28,1)&lt;&gt;0),"잘못된 입력",IF('채점'!V28='채점'!V$8,"정답","오답"))))))</x:f>
        <x:v>정답</x:v>
      </x:c>
      <x:c r="W26" s="2" t="str">
        <x:f>IF('채점'!$C28="결시","결시",IF('채점'!W$45&lt;&gt;"등록","정답 미등록",IF('채점'!W28="","미응답",IF(NOT(ISNUMBER('채점'!W28)),"잘못된 입력",IF(OR('채점'!W28&lt;1,'채점'!W28&gt;4,MOD('채점'!W28,1)&lt;&gt;0),"잘못된 입력",IF('채점'!W28='채점'!W$8,"정답","오답"))))))</x:f>
        <x:v>정답</x:v>
      </x:c>
      <x:c r="X26" s="2" t="str">
        <x:f>IF('채점'!$C28="결시","결시",IF('채점'!X$45&lt;&gt;"등록","정답 미등록",IF('채점'!X28="","미응답",IF(NOT(ISNUMBER('채점'!X28)),"잘못된 입력",IF(OR('채점'!X28&lt;1,'채점'!X28&gt;4,MOD('채점'!X28,1)&lt;&gt;0),"잘못된 입력",IF('채점'!X28='채점'!X$8,"정답","오답"))))))</x:f>
        <x:v>오답</x:v>
      </x:c>
      <x:c r="Y26" s="2" t="str">
        <x:f>IF('채점'!$C28="결시","결시",IF('채점'!Y$45&lt;&gt;"등록","정답 미등록",IF('채점'!Y28="","미응답",IF(NOT(ISNUMBER('채점'!Y28)),"잘못된 입력",IF(OR('채점'!Y28&lt;1,'채점'!Y28&gt;4,MOD('채점'!Y28,1)&lt;&gt;0),"잘못된 입력",IF('채점'!Y28='채점'!Y$8,"정답","오답"))))))</x:f>
        <x:v>정답</x:v>
      </x:c>
      <x:c r="Z26" s="2" t="str">
        <x:f>IF('채점'!$C28="결시","결시",IF('채점'!Z$45&lt;&gt;"등록","정답 미등록",IF('채점'!Z28="","미응답",IF(NOT(ISNUMBER('채점'!Z28)),"잘못된 입력",IF(OR('채점'!Z28&lt;1,'채점'!Z28&gt;4,MOD('채점'!Z28,1)&lt;&gt;0),"잘못된 입력",IF('채점'!Z28='채점'!Z$8,"정답","오답"))))))</x:f>
        <x:v>정답</x:v>
      </x:c>
      <x:c r="AA26" s="2" t="str">
        <x:f>IF('채점'!$C28="결시","결시",IF('채점'!AA$45&lt;&gt;"등록","정답 미등록",IF('채점'!AA28="","미응답",IF(NOT(ISNUMBER('채점'!AA28)),"잘못된 입력",IF(OR('채점'!AA28&lt;1,'채점'!AA28&gt;4,MOD('채점'!AA28,1)&lt;&gt;0),"잘못된 입력",IF('채점'!AA28='채점'!AA$8,"정답","오답"))))))</x:f>
        <x:v>오답</x:v>
      </x:c>
      <x:c r="AB26" s="2" t="str">
        <x:f>IF('채점'!$C28="결시","결시",IF('채점'!AB$45&lt;&gt;"등록","정답 미등록",IF('채점'!AB28="","미응답",IF(NOT(ISNUMBER('채점'!AB28)),"잘못된 입력",IF(OR('채점'!AB28&lt;1,'채점'!AB28&gt;4,MOD('채점'!AB28,1)&lt;&gt;0),"잘못된 입력",IF('채점'!AB28='채점'!AB$8,"정답","오답"))))))</x:f>
        <x:v>정답</x:v>
      </x:c>
      <x:c r="AC26" s="2" t="str">
        <x:f>IF('채점'!$C28="결시","결시",IF('채점'!AC$45&lt;&gt;"등록","정답 미등록",IF('채점'!AC28="","미응답",IF(NOT(ISNUMBER('채점'!AC28)),"잘못된 입력",IF(OR('채점'!AC28&lt;1,'채점'!AC28&gt;4,MOD('채점'!AC28,1)&lt;&gt;0),"잘못된 입력",IF('채점'!AC28='채점'!AC$8,"정답","오답"))))))</x:f>
        <x:v>정답</x:v>
      </x:c>
      <x:c r="AD26" s="2" t="str">
        <x:f>IF('채점'!$C28="결시","결시",IF('채점'!AD$45&lt;&gt;"등록","정답 미등록",IF('채점'!AD28="","미응답",IF(NOT(ISNUMBER('채점'!AD28)),"잘못된 입력",IF(OR('채점'!AD28&lt;1,'채점'!AD28&gt;4,MOD('채점'!AD28,1)&lt;&gt;0),"잘못된 입력",IF('채점'!AD28='채점'!AD$8,"정답","오답"))))))</x:f>
        <x:v>정답</x:v>
      </x:c>
      <x:c r="AE26" s="2" t="str">
        <x:f>IF('채점'!$C28="결시","결시",IF('채점'!AE$45&lt;&gt;"등록","정답 미등록",IF('채점'!AE28="","미응답",IF(NOT(ISNUMBER('채점'!AE28)),"잘못된 입력",IF(OR('채점'!AE28&lt;1,'채점'!AE28&gt;4,MOD('채점'!AE28,1)&lt;&gt;0),"잘못된 입력",IF('채점'!AE28='채점'!AE$8,"정답","오답"))))))</x:f>
        <x:v>오답</x:v>
      </x:c>
      <x:c r="AF26" s="2" t="str">
        <x:f>IF('채점'!$C28="결시","결시",IF('채점'!AF$45&lt;&gt;"등록","정답 미등록",IF('채점'!AF28="","미응답",IF(NOT(ISNUMBER('채점'!AF28)),"잘못된 입력",IF(OR('채점'!AF28&lt;1,'채점'!AF28&gt;4,MOD('채점'!AF28,1)&lt;&gt;0),"잘못된 입력",IF('채점'!AF28='채점'!AF$8,"정답","오답"))))))</x:f>
        <x:v>정답</x:v>
      </x:c>
      <x:c r="AG26" s="2" t="str">
        <x:f>IF('채점'!$C28="결시","결시",IF('채점'!AG$45&lt;&gt;"등록","정답 미등록",IF('채점'!AG28="","미응답",IF(NOT(ISNUMBER('채점'!AG28)),"잘못된 입력",IF(OR('채점'!AG28&lt;1,'채점'!AG28&gt;4,MOD('채점'!AG28,1)&lt;&gt;0),"잘못된 입력",IF('채점'!AG28='채점'!AG$8,"정답","오답"))))))</x:f>
        <x:v>정답</x:v>
      </x:c>
      <x:c r="AH26" s="2" t="str">
        <x:f>IF('채점'!$C28="결시","결시",IF('채점'!AH$45&lt;&gt;"등록","정답 미등록",IF('채점'!AH28="","미응답",IF(NOT(ISNUMBER('채점'!AH28)),"잘못된 입력",IF(OR('채점'!AH28&lt;1,'채점'!AH28&gt;4,MOD('채점'!AH28,1)&lt;&gt;0),"잘못된 입력",IF('채점'!AH28='채점'!AH$8,"정답","오답"))))))</x:f>
        <x:v>오답</x:v>
      </x:c>
      <x:c r="AI26" s="2" t="str">
        <x:f>IF('채점'!$C28="결시","결시",IF('채점'!AI$45&lt;&gt;"등록","정답 미등록",IF('채점'!AI28="","미응답",IF(NOT(ISNUMBER('채점'!AI28)),"잘못된 입력",IF(OR('채점'!AI28&lt;1,'채점'!AI28&gt;4,MOD('채점'!AI28,1)&lt;&gt;0),"잘못된 입력",IF('채점'!AI28='채점'!AI$8,"정답","오답"))))))</x:f>
        <x:v>정답</x:v>
      </x:c>
      <x:c r="AJ26" s="2" t="str">
        <x:f>IF('채점'!$C28="결시","결시",IF('채점'!AJ$45&lt;&gt;"등록","정답 미등록",IF('채점'!AJ28="","미응답",IF(NOT(ISNUMBER('채점'!AJ28)),"잘못된 입력",IF(OR('채점'!AJ28&lt;1,'채점'!AJ28&gt;4,MOD('채점'!AJ28,1)&lt;&gt;0),"잘못된 입력",IF('채점'!AJ28='채점'!AJ$8,"정답","오답"))))))</x:f>
        <x:v>정답</x:v>
      </x:c>
      <x:c r="AK26" s="2" t="str">
        <x:f>IF('채점'!$C28="결시","결시",IF('채점'!AK$45&lt;&gt;"등록","정답 미등록",IF('채점'!AK28="","미응답",IF(NOT(ISNUMBER('채점'!AK28)),"잘못된 입력",IF(OR('채점'!AK28&lt;1,'채점'!AK28&gt;4,MOD('채점'!AK28,1)&lt;&gt;0),"잘못된 입력",IF('채점'!AK28='채점'!AK$8,"정답","오답"))))))</x:f>
        <x:v>오답</x:v>
      </x:c>
      <x:c r="AL26" s="2" t="str">
        <x:f>IF('채점'!$C28="결시","결시",IF('채점'!AL$45&lt;&gt;"등록","정답 미등록",IF('채점'!AL28="","미응답",IF(NOT(ISNUMBER('채점'!AL28)),"잘못된 입력",IF(OR('채점'!AL28&lt;1,'채점'!AL28&gt;4,MOD('채점'!AL28,1)&lt;&gt;0),"잘못된 입력",IF('채점'!AL28='채점'!AL$8,"정답","오답"))))))</x:f>
        <x:v>정답</x:v>
      </x:c>
      <x:c r="AM26" s="2" t="str">
        <x:f>IF('채점'!$C28="결시","결시",IF('채점'!AM$45&lt;&gt;"등록","정답 미등록",IF('채점'!AM28="","미응답",IF(NOT(ISNUMBER('채점'!AM28)),"잘못된 입력",IF(OR('채점'!AM28&lt;1,'채점'!AM28&gt;4,MOD('채점'!AM28,1)&lt;&gt;0),"잘못된 입력",IF('채점'!AM28='채점'!AM$8,"정답","오답"))))))</x:f>
        <x:v>정답</x:v>
      </x:c>
      <x:c r="AN26" s="2" t="str">
        <x:f>IF('채점'!$C28="결시","결시",IF('채점'!AN$45&lt;&gt;"등록","정답 미등록",IF('채점'!AN28="","미응답",IF(NOT(ISNUMBER('채점'!AN28)),"잘못된 입력",IF(OR('채점'!AN28&lt;1,'채점'!AN28&gt;4,MOD('채점'!AN28,1)&lt;&gt;0),"잘못된 입력",IF('채점'!AN28='채점'!AN$8,"정답","오답"))))))</x:f>
        <x:v>정답</x:v>
      </x:c>
      <x:c r="AO26" s="2" t="str">
        <x:f>IF('채점'!$C28="결시","결시",IF('채점'!AO$45&lt;&gt;"등록","정답 미등록",IF('채점'!AO28="","미응답",IF(NOT(ISNUMBER('채점'!AO28)),"잘못된 입력",IF(OR('채점'!AO28&lt;1,'채점'!AO28&gt;4,MOD('채점'!AO28,1)&lt;&gt;0),"잘못된 입력",IF('채점'!AO28='채점'!AO$8,"정답","오답"))))))</x:f>
        <x:v>오답</x:v>
      </x:c>
      <x:c r="AP26" s="2" t="str">
        <x:f>IF('채점'!$C28="결시","결시",IF('채점'!AP$45&lt;&gt;"등록","정답 미등록",IF('채점'!AP28="","미응답",IF(NOT(ISNUMBER('채점'!AP28)),"잘못된 입력",IF(OR('채점'!AP28&lt;1,'채점'!AP28&gt;4,MOD('채점'!AP28,1)&lt;&gt;0),"잘못된 입력",IF('채점'!AP28='채점'!AP$8,"정답","오답"))))))</x:f>
        <x:v>정답</x:v>
      </x:c>
      <x:c r="AQ26" s="2" t="str">
        <x:f>IF('채점'!$C28="결시","결시",IF('채점'!AQ$45&lt;&gt;"등록","정답 미등록",IF('채점'!AQ28="","미응답",IF(NOT(ISNUMBER('채점'!AQ28)),"잘못된 입력",IF(OR('채점'!AQ28&lt;1,'채점'!AQ28&gt;4,MOD('채점'!AQ28,1)&lt;&gt;0),"잘못된 입력",IF('채점'!AQ28='채점'!AQ$8,"정답","오답"))))))</x:f>
        <x:v>정답</x:v>
      </x:c>
    </x:row>
    <x:row r="27" ht="25" customHeight="1">
      <x:c r="A27" s="2" t="str">
        <x:f>'채점'!A29</x:f>
        <x:v>S020</x:v>
      </x:c>
      <x:c r="B27" s="2" t="str">
        <x:f>'채점'!C29</x:f>
        <x:v>응시</x:v>
      </x:c>
      <x:c r="C27" s="2"/>
      <x:c r="D27" s="2" t="str">
        <x:f>IF('채점'!$C29="결시","결시",IF('채점'!D$45&lt;&gt;"등록","정답 미등록",IF('채점'!D29="","미응답",IF(NOT(ISNUMBER('채점'!D29)),"잘못된 입력",IF(OR('채점'!D29&lt;1,'채점'!D29&gt;4,MOD('채점'!D29,1)&lt;&gt;0),"잘못된 입력",IF('채점'!D29='채점'!D$8,"정답","오답"))))))</x:f>
        <x:v>오답</x:v>
      </x:c>
      <x:c r="E27" s="2" t="str">
        <x:f>IF('채점'!$C29="결시","결시",IF('채점'!E$45&lt;&gt;"등록","정답 미등록",IF('채점'!E29="","미응답",IF(NOT(ISNUMBER('채점'!E29)),"잘못된 입력",IF(OR('채점'!E29&lt;1,'채점'!E29&gt;4,MOD('채점'!E29,1)&lt;&gt;0),"잘못된 입력",IF('채점'!E29='채점'!E$8,"정답","오답"))))))</x:f>
        <x:v>정답</x:v>
      </x:c>
      <x:c r="F27" s="2" t="str">
        <x:f>IF('채점'!$C29="결시","결시",IF('채점'!F$45&lt;&gt;"등록","정답 미등록",IF('채점'!F29="","미응답",IF(NOT(ISNUMBER('채점'!F29)),"잘못된 입력",IF(OR('채점'!F29&lt;1,'채점'!F29&gt;4,MOD('채점'!F29,1)&lt;&gt;0),"잘못된 입력",IF('채점'!F29='채점'!F$8,"정답","오답"))))))</x:f>
        <x:v>정답</x:v>
      </x:c>
      <x:c r="G27" s="2" t="str">
        <x:f>IF('채점'!$C29="결시","결시",IF('채점'!G$45&lt;&gt;"등록","정답 미등록",IF('채점'!G29="","미응답",IF(NOT(ISNUMBER('채점'!G29)),"잘못된 입력",IF(OR('채점'!G29&lt;1,'채점'!G29&gt;4,MOD('채점'!G29,1)&lt;&gt;0),"잘못된 입력",IF('채점'!G29='채점'!G$8,"정답","오답"))))))</x:f>
        <x:v>정답</x:v>
      </x:c>
      <x:c r="H27" s="2" t="str">
        <x:f>IF('채점'!$C29="결시","결시",IF('채점'!H$45&lt;&gt;"등록","정답 미등록",IF('채점'!H29="","미응답",IF(NOT(ISNUMBER('채점'!H29)),"잘못된 입력",IF(OR('채점'!H29&lt;1,'채점'!H29&gt;4,MOD('채점'!H29,1)&lt;&gt;0),"잘못된 입력",IF('채점'!H29='채점'!H$8,"정답","오답"))))))</x:f>
        <x:v>정답</x:v>
      </x:c>
      <x:c r="I27" s="2" t="str">
        <x:f>IF('채점'!$C29="결시","결시",IF('채점'!I$45&lt;&gt;"등록","정답 미등록",IF('채점'!I29="","미응답",IF(NOT(ISNUMBER('채점'!I29)),"잘못된 입력",IF(OR('채점'!I29&lt;1,'채점'!I29&gt;4,MOD('채점'!I29,1)&lt;&gt;0),"잘못된 입력",IF('채점'!I29='채점'!I$8,"정답","오답"))))))</x:f>
        <x:v>정답</x:v>
      </x:c>
      <x:c r="J27" s="2" t="str">
        <x:f>IF('채점'!$C29="결시","결시",IF('채점'!J$45&lt;&gt;"등록","정답 미등록",IF('채점'!J29="","미응답",IF(NOT(ISNUMBER('채점'!J29)),"잘못된 입력",IF(OR('채점'!J29&lt;1,'채점'!J29&gt;4,MOD('채점'!J29,1)&lt;&gt;0),"잘못된 입력",IF('채점'!J29='채점'!J$8,"정답","오답"))))))</x:f>
        <x:v>정답</x:v>
      </x:c>
      <x:c r="K27" s="2" t="str">
        <x:f>IF('채점'!$C29="결시","결시",IF('채점'!K$45&lt;&gt;"등록","정답 미등록",IF('채점'!K29="","미응답",IF(NOT(ISNUMBER('채점'!K29)),"잘못된 입력",IF(OR('채점'!K29&lt;1,'채점'!K29&gt;4,MOD('채점'!K29,1)&lt;&gt;0),"잘못된 입력",IF('채점'!K29='채점'!K$8,"정답","오답"))))))</x:f>
        <x:v>오답</x:v>
      </x:c>
      <x:c r="L27" s="2" t="str">
        <x:f>IF('채점'!$C29="결시","결시",IF('채점'!L$45&lt;&gt;"등록","정답 미등록",IF('채점'!L29="","미응답",IF(NOT(ISNUMBER('채점'!L29)),"잘못된 입력",IF(OR('채점'!L29&lt;1,'채점'!L29&gt;4,MOD('채점'!L29,1)&lt;&gt;0),"잘못된 입력",IF('채점'!L29='채점'!L$8,"정답","오답"))))))</x:f>
        <x:v>정답</x:v>
      </x:c>
      <x:c r="M27" s="2" t="str">
        <x:f>IF('채점'!$C29="결시","결시",IF('채점'!M$45&lt;&gt;"등록","정답 미등록",IF('채점'!M29="","미응답",IF(NOT(ISNUMBER('채점'!M29)),"잘못된 입력",IF(OR('채점'!M29&lt;1,'채점'!M29&gt;4,MOD('채점'!M29,1)&lt;&gt;0),"잘못된 입력",IF('채점'!M29='채점'!M$8,"정답","오답"))))))</x:f>
        <x:v>정답</x:v>
      </x:c>
      <x:c r="N27" s="2" t="str">
        <x:f>IF('채점'!$C29="결시","결시",IF('채점'!N$45&lt;&gt;"등록","정답 미등록",IF('채점'!N29="","미응답",IF(NOT(ISNUMBER('채점'!N29)),"잘못된 입력",IF(OR('채점'!N29&lt;1,'채점'!N29&gt;4,MOD('채점'!N29,1)&lt;&gt;0),"잘못된 입력",IF('채점'!N29='채점'!N$8,"정답","오답"))))))</x:f>
        <x:v>오답</x:v>
      </x:c>
      <x:c r="O27" s="2" t="str">
        <x:f>IF('채점'!$C29="결시","결시",IF('채점'!O$45&lt;&gt;"등록","정답 미등록",IF('채점'!O29="","미응답",IF(NOT(ISNUMBER('채점'!O29)),"잘못된 입력",IF(OR('채점'!O29&lt;1,'채점'!O29&gt;4,MOD('채점'!O29,1)&lt;&gt;0),"잘못된 입력",IF('채점'!O29='채점'!O$8,"정답","오답"))))))</x:f>
        <x:v>정답</x:v>
      </x:c>
      <x:c r="P27" s="2" t="str">
        <x:f>IF('채점'!$C29="결시","결시",IF('채점'!P$45&lt;&gt;"등록","정답 미등록",IF('채점'!P29="","미응답",IF(NOT(ISNUMBER('채점'!P29)),"잘못된 입력",IF(OR('채점'!P29&lt;1,'채점'!P29&gt;4,MOD('채점'!P29,1)&lt;&gt;0),"잘못된 입력",IF('채점'!P29='채점'!P$8,"정답","오답"))))))</x:f>
        <x:v>정답</x:v>
      </x:c>
      <x:c r="Q27" s="2" t="str">
        <x:f>IF('채점'!$C29="결시","결시",IF('채점'!Q$45&lt;&gt;"등록","정답 미등록",IF('채점'!Q29="","미응답",IF(NOT(ISNUMBER('채점'!Q29)),"잘못된 입력",IF(OR('채점'!Q29&lt;1,'채점'!Q29&gt;4,MOD('채점'!Q29,1)&lt;&gt;0),"잘못된 입력",IF('채점'!Q29='채점'!Q$8,"정답","오답"))))))</x:f>
        <x:v>정답</x:v>
      </x:c>
      <x:c r="R27" s="2" t="str">
        <x:f>IF('채점'!$C29="결시","결시",IF('채점'!R$45&lt;&gt;"등록","정답 미등록",IF('채점'!R29="","미응답",IF(NOT(ISNUMBER('채점'!R29)),"잘못된 입력",IF(OR('채점'!R29&lt;1,'채점'!R29&gt;4,MOD('채점'!R29,1)&lt;&gt;0),"잘못된 입력",IF('채점'!R29='채점'!R$8,"정답","오답"))))))</x:f>
        <x:v>정답</x:v>
      </x:c>
      <x:c r="S27" s="2" t="str">
        <x:f>IF('채점'!$C29="결시","결시",IF('채점'!S$45&lt;&gt;"등록","정답 미등록",IF('채점'!S29="","미응답",IF(NOT(ISNUMBER('채점'!S29)),"잘못된 입력",IF(OR('채점'!S29&lt;1,'채점'!S29&gt;4,MOD('채점'!S29,1)&lt;&gt;0),"잘못된 입력",IF('채점'!S29='채점'!S$8,"정답","오답"))))))</x:f>
        <x:v>정답</x:v>
      </x:c>
      <x:c r="T27" s="2" t="str">
        <x:f>IF('채점'!$C29="결시","결시",IF('채점'!T$45&lt;&gt;"등록","정답 미등록",IF('채점'!T29="","미응답",IF(NOT(ISNUMBER('채점'!T29)),"잘못된 입력",IF(OR('채점'!T29&lt;1,'채점'!T29&gt;4,MOD('채점'!T29,1)&lt;&gt;0),"잘못된 입력",IF('채점'!T29='채점'!T$8,"정답","오답"))))))</x:f>
        <x:v>정답</x:v>
      </x:c>
      <x:c r="U27" s="2" t="str">
        <x:f>IF('채점'!$C29="결시","결시",IF('채점'!U$45&lt;&gt;"등록","정답 미등록",IF('채점'!U29="","미응답",IF(NOT(ISNUMBER('채점'!U29)),"잘못된 입력",IF(OR('채점'!U29&lt;1,'채점'!U29&gt;4,MOD('채점'!U29,1)&lt;&gt;0),"잘못된 입력",IF('채점'!U29='채점'!U$8,"정답","오답"))))))</x:f>
        <x:v>오답</x:v>
      </x:c>
      <x:c r="V27" s="2" t="str">
        <x:f>IF('채점'!$C29="결시","결시",IF('채점'!V$45&lt;&gt;"등록","정답 미등록",IF('채점'!V29="","미응답",IF(NOT(ISNUMBER('채점'!V29)),"잘못된 입력",IF(OR('채점'!V29&lt;1,'채점'!V29&gt;4,MOD('채점'!V29,1)&lt;&gt;0),"잘못된 입력",IF('채점'!V29='채점'!V$8,"정답","오답"))))))</x:f>
        <x:v>정답</x:v>
      </x:c>
      <x:c r="W27" s="2" t="str">
        <x:f>IF('채점'!$C29="결시","결시",IF('채점'!W$45&lt;&gt;"등록","정답 미등록",IF('채점'!W29="","미응답",IF(NOT(ISNUMBER('채점'!W29)),"잘못된 입력",IF(OR('채점'!W29&lt;1,'채점'!W29&gt;4,MOD('채점'!W29,1)&lt;&gt;0),"잘못된 입력",IF('채점'!W29='채점'!W$8,"정답","오답"))))))</x:f>
        <x:v>정답</x:v>
      </x:c>
      <x:c r="X27" s="2" t="str">
        <x:f>IF('채점'!$C29="결시","결시",IF('채점'!X$45&lt;&gt;"등록","정답 미등록",IF('채점'!X29="","미응답",IF(NOT(ISNUMBER('채점'!X29)),"잘못된 입력",IF(OR('채점'!X29&lt;1,'채점'!X29&gt;4,MOD('채점'!X29,1)&lt;&gt;0),"잘못된 입력",IF('채점'!X29='채점'!X$8,"정답","오답"))))))</x:f>
        <x:v>오답</x:v>
      </x:c>
      <x:c r="Y27" s="2" t="str">
        <x:f>IF('채점'!$C29="결시","결시",IF('채점'!Y$45&lt;&gt;"등록","정답 미등록",IF('채점'!Y29="","미응답",IF(NOT(ISNUMBER('채점'!Y29)),"잘못된 입력",IF(OR('채점'!Y29&lt;1,'채점'!Y29&gt;4,MOD('채점'!Y29,1)&lt;&gt;0),"잘못된 입력",IF('채점'!Y29='채점'!Y$8,"정답","오답"))))))</x:f>
        <x:v>정답</x:v>
      </x:c>
      <x:c r="Z27" s="2" t="str">
        <x:f>IF('채점'!$C29="결시","결시",IF('채점'!Z$45&lt;&gt;"등록","정답 미등록",IF('채점'!Z29="","미응답",IF(NOT(ISNUMBER('채점'!Z29)),"잘못된 입력",IF(OR('채점'!Z29&lt;1,'채점'!Z29&gt;4,MOD('채점'!Z29,1)&lt;&gt;0),"잘못된 입력",IF('채점'!Z29='채점'!Z$8,"정답","오답"))))))</x:f>
        <x:v>정답</x:v>
      </x:c>
      <x:c r="AA27" s="2" t="str">
        <x:f>IF('채점'!$C29="결시","결시",IF('채점'!AA$45&lt;&gt;"등록","정답 미등록",IF('채점'!AA29="","미응답",IF(NOT(ISNUMBER('채점'!AA29)),"잘못된 입력",IF(OR('채점'!AA29&lt;1,'채점'!AA29&gt;4,MOD('채점'!AA29,1)&lt;&gt;0),"잘못된 입력",IF('채점'!AA29='채점'!AA$8,"정답","오답"))))))</x:f>
        <x:v>정답</x:v>
      </x:c>
      <x:c r="AB27" s="2" t="str">
        <x:f>IF('채점'!$C29="결시","결시",IF('채점'!AB$45&lt;&gt;"등록","정답 미등록",IF('채점'!AB29="","미응답",IF(NOT(ISNUMBER('채점'!AB29)),"잘못된 입력",IF(OR('채점'!AB29&lt;1,'채점'!AB29&gt;4,MOD('채점'!AB29,1)&lt;&gt;0),"잘못된 입력",IF('채점'!AB29='채점'!AB$8,"정답","오답"))))))</x:f>
        <x:v>정답</x:v>
      </x:c>
      <x:c r="AC27" s="2" t="str">
        <x:f>IF('채점'!$C29="결시","결시",IF('채점'!AC$45&lt;&gt;"등록","정답 미등록",IF('채점'!AC29="","미응답",IF(NOT(ISNUMBER('채점'!AC29)),"잘못된 입력",IF(OR('채점'!AC29&lt;1,'채점'!AC29&gt;4,MOD('채점'!AC29,1)&lt;&gt;0),"잘못된 입력",IF('채점'!AC29='채점'!AC$8,"정답","오답"))))))</x:f>
        <x:v>정답</x:v>
      </x:c>
      <x:c r="AD27" s="2" t="str">
        <x:f>IF('채점'!$C29="결시","결시",IF('채점'!AD$45&lt;&gt;"등록","정답 미등록",IF('채점'!AD29="","미응답",IF(NOT(ISNUMBER('채점'!AD29)),"잘못된 입력",IF(OR('채점'!AD29&lt;1,'채점'!AD29&gt;4,MOD('채점'!AD29,1)&lt;&gt;0),"잘못된 입력",IF('채점'!AD29='채점'!AD$8,"정답","오답"))))))</x:f>
        <x:v>정답</x:v>
      </x:c>
      <x:c r="AE27" s="2" t="str">
        <x:f>IF('채점'!$C29="결시","결시",IF('채점'!AE$45&lt;&gt;"등록","정답 미등록",IF('채점'!AE29="","미응답",IF(NOT(ISNUMBER('채점'!AE29)),"잘못된 입력",IF(OR('채점'!AE29&lt;1,'채점'!AE29&gt;4,MOD('채점'!AE29,1)&lt;&gt;0),"잘못된 입력",IF('채점'!AE29='채점'!AE$8,"정답","오답"))))))</x:f>
        <x:v>오답</x:v>
      </x:c>
      <x:c r="AF27" s="2" t="str">
        <x:f>IF('채점'!$C29="결시","결시",IF('채점'!AF$45&lt;&gt;"등록","정답 미등록",IF('채점'!AF29="","미응답",IF(NOT(ISNUMBER('채점'!AF29)),"잘못된 입력",IF(OR('채점'!AF29&lt;1,'채점'!AF29&gt;4,MOD('채점'!AF29,1)&lt;&gt;0),"잘못된 입력",IF('채점'!AF29='채점'!AF$8,"정답","오답"))))))</x:f>
        <x:v>정답</x:v>
      </x:c>
      <x:c r="AG27" s="2" t="str">
        <x:f>IF('채점'!$C29="결시","결시",IF('채점'!AG$45&lt;&gt;"등록","정답 미등록",IF('채점'!AG29="","미응답",IF(NOT(ISNUMBER('채점'!AG29)),"잘못된 입력",IF(OR('채점'!AG29&lt;1,'채점'!AG29&gt;4,MOD('채점'!AG29,1)&lt;&gt;0),"잘못된 입력",IF('채점'!AG29='채점'!AG$8,"정답","오답"))))))</x:f>
        <x:v>정답</x:v>
      </x:c>
      <x:c r="AH27" s="2" t="str">
        <x:f>IF('채점'!$C29="결시","결시",IF('채점'!AH$45&lt;&gt;"등록","정답 미등록",IF('채점'!AH29="","미응답",IF(NOT(ISNUMBER('채점'!AH29)),"잘못된 입력",IF(OR('채점'!AH29&lt;1,'채점'!AH29&gt;4,MOD('채점'!AH29,1)&lt;&gt;0),"잘못된 입력",IF('채점'!AH29='채점'!AH$8,"정답","오답"))))))</x:f>
        <x:v>오답</x:v>
      </x:c>
      <x:c r="AI27" s="2" t="str">
        <x:f>IF('채점'!$C29="결시","결시",IF('채점'!AI$45&lt;&gt;"등록","정답 미등록",IF('채점'!AI29="","미응답",IF(NOT(ISNUMBER('채점'!AI29)),"잘못된 입력",IF(OR('채점'!AI29&lt;1,'채점'!AI29&gt;4,MOD('채점'!AI29,1)&lt;&gt;0),"잘못된 입력",IF('채점'!AI29='채점'!AI$8,"정답","오답"))))))</x:f>
        <x:v>정답</x:v>
      </x:c>
      <x:c r="AJ27" s="2" t="str">
        <x:f>IF('채점'!$C29="결시","결시",IF('채점'!AJ$45&lt;&gt;"등록","정답 미등록",IF('채점'!AJ29="","미응답",IF(NOT(ISNUMBER('채점'!AJ29)),"잘못된 입력",IF(OR('채점'!AJ29&lt;1,'채점'!AJ29&gt;4,MOD('채점'!AJ29,1)&lt;&gt;0),"잘못된 입력",IF('채점'!AJ29='채점'!AJ$8,"정답","오답"))))))</x:f>
        <x:v>정답</x:v>
      </x:c>
      <x:c r="AK27" s="2" t="str">
        <x:f>IF('채점'!$C29="결시","결시",IF('채점'!AK$45&lt;&gt;"등록","정답 미등록",IF('채점'!AK29="","미응답",IF(NOT(ISNUMBER('채점'!AK29)),"잘못된 입력",IF(OR('채점'!AK29&lt;1,'채점'!AK29&gt;4,MOD('채점'!AK29,1)&lt;&gt;0),"잘못된 입력",IF('채점'!AK29='채점'!AK$8,"정답","오답"))))))</x:f>
        <x:v>정답</x:v>
      </x:c>
      <x:c r="AL27" s="2" t="str">
        <x:f>IF('채점'!$C29="결시","결시",IF('채점'!AL$45&lt;&gt;"등록","정답 미등록",IF('채점'!AL29="","미응답",IF(NOT(ISNUMBER('채점'!AL29)),"잘못된 입력",IF(OR('채점'!AL29&lt;1,'채점'!AL29&gt;4,MOD('채점'!AL29,1)&lt;&gt;0),"잘못된 입력",IF('채점'!AL29='채점'!AL$8,"정답","오답"))))))</x:f>
        <x:v>정답</x:v>
      </x:c>
      <x:c r="AM27" s="2" t="str">
        <x:f>IF('채점'!$C29="결시","결시",IF('채점'!AM$45&lt;&gt;"등록","정답 미등록",IF('채점'!AM29="","미응답",IF(NOT(ISNUMBER('채점'!AM29)),"잘못된 입력",IF(OR('채점'!AM29&lt;1,'채점'!AM29&gt;4,MOD('채점'!AM29,1)&lt;&gt;0),"잘못된 입력",IF('채점'!AM29='채점'!AM$8,"정답","오답"))))))</x:f>
        <x:v>정답</x:v>
      </x:c>
      <x:c r="AN27" s="2" t="str">
        <x:f>IF('채점'!$C29="결시","결시",IF('채점'!AN$45&lt;&gt;"등록","정답 미등록",IF('채점'!AN29="","미응답",IF(NOT(ISNUMBER('채점'!AN29)),"잘못된 입력",IF(OR('채점'!AN29&lt;1,'채점'!AN29&gt;4,MOD('채점'!AN29,1)&lt;&gt;0),"잘못된 입력",IF('채점'!AN29='채점'!AN$8,"정답","오답"))))))</x:f>
        <x:v>정답</x:v>
      </x:c>
      <x:c r="AO27" s="2" t="str">
        <x:f>IF('채점'!$C29="결시","결시",IF('채점'!AO$45&lt;&gt;"등록","정답 미등록",IF('채점'!AO29="","미응답",IF(NOT(ISNUMBER('채점'!AO29)),"잘못된 입력",IF(OR('채점'!AO29&lt;1,'채점'!AO29&gt;4,MOD('채점'!AO29,1)&lt;&gt;0),"잘못된 입력",IF('채점'!AO29='채점'!AO$8,"정답","오답"))))))</x:f>
        <x:v>오답</x:v>
      </x:c>
      <x:c r="AP27" s="2" t="str">
        <x:f>IF('채점'!$C29="결시","결시",IF('채점'!AP$45&lt;&gt;"등록","정답 미등록",IF('채점'!AP29="","미응답",IF(NOT(ISNUMBER('채점'!AP29)),"잘못된 입력",IF(OR('채점'!AP29&lt;1,'채점'!AP29&gt;4,MOD('채점'!AP29,1)&lt;&gt;0),"잘못된 입력",IF('채점'!AP29='채점'!AP$8,"정답","오답"))))))</x:f>
        <x:v>정답</x:v>
      </x:c>
      <x:c r="AQ27" s="2" t="str">
        <x:f>IF('채점'!$C29="결시","결시",IF('채점'!AQ$45&lt;&gt;"등록","정답 미등록",IF('채점'!AQ29="","미응답",IF(NOT(ISNUMBER('채점'!AQ29)),"잘못된 입력",IF(OR('채점'!AQ29&lt;1,'채점'!AQ29&gt;4,MOD('채점'!AQ29,1)&lt;&gt;0),"잘못된 입력",IF('채점'!AQ29='채점'!AQ$8,"정답","오답"))))))</x:f>
        <x:v>정답</x:v>
      </x:c>
    </x:row>
    <x:row r="28" ht="25" customHeight="1">
      <x:c r="A28" s="2" t="str">
        <x:f>'채점'!A30</x:f>
        <x:v>S021</x:v>
      </x:c>
      <x:c r="B28" s="2" t="str">
        <x:f>'채점'!C30</x:f>
        <x:v>응시</x:v>
      </x:c>
      <x:c r="C28" s="2"/>
      <x:c r="D28" s="2" t="str">
        <x:f>IF('채점'!$C30="결시","결시",IF('채점'!D$45&lt;&gt;"등록","정답 미등록",IF('채점'!D30="","미응답",IF(NOT(ISNUMBER('채점'!D30)),"잘못된 입력",IF(OR('채점'!D30&lt;1,'채점'!D30&gt;4,MOD('채점'!D30,1)&lt;&gt;0),"잘못된 입력",IF('채점'!D30='채점'!D$8,"정답","오답"))))))</x:f>
        <x:v>정답</x:v>
      </x:c>
      <x:c r="E28" s="2" t="str">
        <x:f>IF('채점'!$C30="결시","결시",IF('채점'!E$45&lt;&gt;"등록","정답 미등록",IF('채점'!E30="","미응답",IF(NOT(ISNUMBER('채점'!E30)),"잘못된 입력",IF(OR('채점'!E30&lt;1,'채점'!E30&gt;4,MOD('채점'!E30,1)&lt;&gt;0),"잘못된 입력",IF('채점'!E30='채점'!E$8,"정답","오답"))))))</x:f>
        <x:v>오답</x:v>
      </x:c>
      <x:c r="F28" s="2" t="str">
        <x:f>IF('채점'!$C30="결시","결시",IF('채점'!F$45&lt;&gt;"등록","정답 미등록",IF('채점'!F30="","미응답",IF(NOT(ISNUMBER('채점'!F30)),"잘못된 입력",IF(OR('채점'!F30&lt;1,'채점'!F30&gt;4,MOD('채점'!F30,1)&lt;&gt;0),"잘못된 입력",IF('채점'!F30='채점'!F$8,"정답","오답"))))))</x:f>
        <x:v>정답</x:v>
      </x:c>
      <x:c r="G28" s="2" t="str">
        <x:f>IF('채점'!$C30="결시","결시",IF('채점'!G$45&lt;&gt;"등록","정답 미등록",IF('채점'!G30="","미응답",IF(NOT(ISNUMBER('채점'!G30)),"잘못된 입력",IF(OR('채점'!G30&lt;1,'채점'!G30&gt;4,MOD('채점'!G30,1)&lt;&gt;0),"잘못된 입력",IF('채점'!G30='채점'!G$8,"정답","오답"))))))</x:f>
        <x:v>정답</x:v>
      </x:c>
      <x:c r="H28" s="2" t="str">
        <x:f>IF('채점'!$C30="결시","결시",IF('채점'!H$45&lt;&gt;"등록","정답 미등록",IF('채점'!H30="","미응답",IF(NOT(ISNUMBER('채점'!H30)),"잘못된 입력",IF(OR('채점'!H30&lt;1,'채점'!H30&gt;4,MOD('채점'!H30,1)&lt;&gt;0),"잘못된 입력",IF('채점'!H30='채점'!H$8,"정답","오답"))))))</x:f>
        <x:v>오답</x:v>
      </x:c>
      <x:c r="I28" s="2" t="str">
        <x:f>IF('채점'!$C30="결시","결시",IF('채점'!I$45&lt;&gt;"등록","정답 미등록",IF('채점'!I30="","미응답",IF(NOT(ISNUMBER('채점'!I30)),"잘못된 입력",IF(OR('채점'!I30&lt;1,'채점'!I30&gt;4,MOD('채점'!I30,1)&lt;&gt;0),"잘못된 입력",IF('채점'!I30='채점'!I$8,"정답","오답"))))))</x:f>
        <x:v>오답</x:v>
      </x:c>
      <x:c r="J28" s="2" t="str">
        <x:f>IF('채점'!$C30="결시","결시",IF('채점'!J$45&lt;&gt;"등록","정답 미등록",IF('채점'!J30="","미응답",IF(NOT(ISNUMBER('채점'!J30)),"잘못된 입력",IF(OR('채점'!J30&lt;1,'채점'!J30&gt;4,MOD('채점'!J30,1)&lt;&gt;0),"잘못된 입력",IF('채점'!J30='채점'!J$8,"정답","오답"))))))</x:f>
        <x:v>정답</x:v>
      </x:c>
      <x:c r="K28" s="2" t="str">
        <x:f>IF('채점'!$C30="결시","결시",IF('채점'!K$45&lt;&gt;"등록","정답 미등록",IF('채점'!K30="","미응답",IF(NOT(ISNUMBER('채점'!K30)),"잘못된 입력",IF(OR('채점'!K30&lt;1,'채점'!K30&gt;4,MOD('채점'!K30,1)&lt;&gt;0),"잘못된 입력",IF('채점'!K30='채점'!K$8,"정답","오답"))))))</x:f>
        <x:v>오답</x:v>
      </x:c>
      <x:c r="L28" s="2" t="str">
        <x:f>IF('채점'!$C30="결시","결시",IF('채점'!L$45&lt;&gt;"등록","정답 미등록",IF('채점'!L30="","미응답",IF(NOT(ISNUMBER('채점'!L30)),"잘못된 입력",IF(OR('채점'!L30&lt;1,'채점'!L30&gt;4,MOD('채점'!L30,1)&lt;&gt;0),"잘못된 입력",IF('채점'!L30='채점'!L$8,"정답","오답"))))))</x:f>
        <x:v>오답</x:v>
      </x:c>
      <x:c r="M28" s="2" t="str">
        <x:f>IF('채점'!$C30="결시","결시",IF('채점'!M$45&lt;&gt;"등록","정답 미등록",IF('채점'!M30="","미응답",IF(NOT(ISNUMBER('채점'!M30)),"잘못된 입력",IF(OR('채점'!M30&lt;1,'채점'!M30&gt;4,MOD('채점'!M30,1)&lt;&gt;0),"잘못된 입력",IF('채점'!M30='채점'!M$8,"정답","오답"))))))</x:f>
        <x:v>정답</x:v>
      </x:c>
      <x:c r="N28" s="2" t="str">
        <x:f>IF('채점'!$C30="결시","결시",IF('채점'!N$45&lt;&gt;"등록","정답 미등록",IF('채점'!N30="","미응답",IF(NOT(ISNUMBER('채점'!N30)),"잘못된 입력",IF(OR('채점'!N30&lt;1,'채점'!N30&gt;4,MOD('채점'!N30,1)&lt;&gt;0),"잘못된 입력",IF('채점'!N30='채점'!N$8,"정답","오답"))))))</x:f>
        <x:v>정답</x:v>
      </x:c>
      <x:c r="O28" s="2" t="str">
        <x:f>IF('채점'!$C30="결시","결시",IF('채점'!O$45&lt;&gt;"등록","정답 미등록",IF('채점'!O30="","미응답",IF(NOT(ISNUMBER('채점'!O30)),"잘못된 입력",IF(OR('채점'!O30&lt;1,'채점'!O30&gt;4,MOD('채점'!O30,1)&lt;&gt;0),"잘못된 입력",IF('채점'!O30='채점'!O$8,"정답","오답"))))))</x:f>
        <x:v>오답</x:v>
      </x:c>
      <x:c r="P28" s="2" t="str">
        <x:f>IF('채점'!$C30="결시","결시",IF('채점'!P$45&lt;&gt;"등록","정답 미등록",IF('채점'!P30="","미응답",IF(NOT(ISNUMBER('채점'!P30)),"잘못된 입력",IF(OR('채점'!P30&lt;1,'채점'!P30&gt;4,MOD('채점'!P30,1)&lt;&gt;0),"잘못된 입력",IF('채점'!P30='채점'!P$8,"정답","오답"))))))</x:f>
        <x:v>정답</x:v>
      </x:c>
      <x:c r="Q28" s="2" t="str">
        <x:f>IF('채점'!$C30="결시","결시",IF('채점'!Q$45&lt;&gt;"등록","정답 미등록",IF('채점'!Q30="","미응답",IF(NOT(ISNUMBER('채점'!Q30)),"잘못된 입력",IF(OR('채점'!Q30&lt;1,'채점'!Q30&gt;4,MOD('채점'!Q30,1)&lt;&gt;0),"잘못된 입력",IF('채점'!Q30='채점'!Q$8,"정답","오답"))))))</x:f>
        <x:v>정답</x:v>
      </x:c>
      <x:c r="R28" s="2" t="str">
        <x:f>IF('채점'!$C30="결시","결시",IF('채점'!R$45&lt;&gt;"등록","정답 미등록",IF('채점'!R30="","미응답",IF(NOT(ISNUMBER('채점'!R30)),"잘못된 입력",IF(OR('채점'!R30&lt;1,'채점'!R30&gt;4,MOD('채점'!R30,1)&lt;&gt;0),"잘못된 입력",IF('채점'!R30='채점'!R$8,"정답","오답"))))))</x:f>
        <x:v>오답</x:v>
      </x:c>
      <x:c r="S28" s="2" t="str">
        <x:f>IF('채점'!$C30="결시","결시",IF('채점'!S$45&lt;&gt;"등록","정답 미등록",IF('채점'!S30="","미응답",IF(NOT(ISNUMBER('채점'!S30)),"잘못된 입력",IF(OR('채점'!S30&lt;1,'채점'!S30&gt;4,MOD('채점'!S30,1)&lt;&gt;0),"잘못된 입력",IF('채점'!S30='채점'!S$8,"정답","오답"))))))</x:f>
        <x:v>오답</x:v>
      </x:c>
      <x:c r="T28" s="2" t="str">
        <x:f>IF('채점'!$C30="결시","결시",IF('채점'!T$45&lt;&gt;"등록","정답 미등록",IF('채점'!T30="","미응답",IF(NOT(ISNUMBER('채점'!T30)),"잘못된 입력",IF(OR('채점'!T30&lt;1,'채점'!T30&gt;4,MOD('채점'!T30,1)&lt;&gt;0),"잘못된 입력",IF('채점'!T30='채점'!T$8,"정답","오답"))))))</x:f>
        <x:v>정답</x:v>
      </x:c>
      <x:c r="U28" s="2" t="str">
        <x:f>IF('채점'!$C30="결시","결시",IF('채점'!U$45&lt;&gt;"등록","정답 미등록",IF('채점'!U30="","미응답",IF(NOT(ISNUMBER('채점'!U30)),"잘못된 입력",IF(OR('채점'!U30&lt;1,'채점'!U30&gt;4,MOD('채점'!U30,1)&lt;&gt;0),"잘못된 입력",IF('채점'!U30='채점'!U$8,"정답","오답"))))))</x:f>
        <x:v>오답</x:v>
      </x:c>
      <x:c r="V28" s="2" t="str">
        <x:f>IF('채점'!$C30="결시","결시",IF('채점'!V$45&lt;&gt;"등록","정답 미등록",IF('채점'!V30="","미응답",IF(NOT(ISNUMBER('채점'!V30)),"잘못된 입력",IF(OR('채점'!V30&lt;1,'채점'!V30&gt;4,MOD('채점'!V30,1)&lt;&gt;0),"잘못된 입력",IF('채점'!V30='채점'!V$8,"정답","오답"))))))</x:f>
        <x:v>오답</x:v>
      </x:c>
      <x:c r="W28" s="2" t="str">
        <x:f>IF('채점'!$C30="결시","결시",IF('채점'!W$45&lt;&gt;"등록","정답 미등록",IF('채점'!W30="","미응답",IF(NOT(ISNUMBER('채점'!W30)),"잘못된 입력",IF(OR('채점'!W30&lt;1,'채점'!W30&gt;4,MOD('채점'!W30,1)&lt;&gt;0),"잘못된 입력",IF('채점'!W30='채점'!W$8,"정답","오답"))))))</x:f>
        <x:v>정답</x:v>
      </x:c>
      <x:c r="X28" s="2" t="str">
        <x:f>IF('채점'!$C30="결시","결시",IF('채점'!X$45&lt;&gt;"등록","정답 미등록",IF('채점'!X30="","미응답",IF(NOT(ISNUMBER('채점'!X30)),"잘못된 입력",IF(OR('채점'!X30&lt;1,'채점'!X30&gt;4,MOD('채점'!X30,1)&lt;&gt;0),"잘못된 입력",IF('채점'!X30='채점'!X$8,"정답","오답"))))))</x:f>
        <x:v>정답</x:v>
      </x:c>
      <x:c r="Y28" s="2" t="str">
        <x:f>IF('채점'!$C30="결시","결시",IF('채점'!Y$45&lt;&gt;"등록","정답 미등록",IF('채점'!Y30="","미응답",IF(NOT(ISNUMBER('채점'!Y30)),"잘못된 입력",IF(OR('채점'!Y30&lt;1,'채점'!Y30&gt;4,MOD('채점'!Y30,1)&lt;&gt;0),"잘못된 입력",IF('채점'!Y30='채점'!Y$8,"정답","오답"))))))</x:f>
        <x:v>오답</x:v>
      </x:c>
      <x:c r="Z28" s="2" t="str">
        <x:f>IF('채점'!$C30="결시","결시",IF('채점'!Z$45&lt;&gt;"등록","정답 미등록",IF('채점'!Z30="","미응답",IF(NOT(ISNUMBER('채점'!Z30)),"잘못된 입력",IF(OR('채점'!Z30&lt;1,'채점'!Z30&gt;4,MOD('채점'!Z30,1)&lt;&gt;0),"잘못된 입력",IF('채점'!Z30='채점'!Z$8,"정답","오답"))))))</x:f>
        <x:v>정답</x:v>
      </x:c>
      <x:c r="AA28" s="2" t="str">
        <x:f>IF('채점'!$C30="결시","결시",IF('채점'!AA$45&lt;&gt;"등록","정답 미등록",IF('채점'!AA30="","미응답",IF(NOT(ISNUMBER('채점'!AA30)),"잘못된 입력",IF(OR('채점'!AA30&lt;1,'채점'!AA30&gt;4,MOD('채점'!AA30,1)&lt;&gt;0),"잘못된 입력",IF('채점'!AA30='채점'!AA$8,"정답","오답"))))))</x:f>
        <x:v>정답</x:v>
      </x:c>
      <x:c r="AB28" s="2" t="str">
        <x:f>IF('채점'!$C30="결시","결시",IF('채점'!AB$45&lt;&gt;"등록","정답 미등록",IF('채점'!AB30="","미응답",IF(NOT(ISNUMBER('채점'!AB30)),"잘못된 입력",IF(OR('채점'!AB30&lt;1,'채점'!AB30&gt;4,MOD('채점'!AB30,1)&lt;&gt;0),"잘못된 입력",IF('채점'!AB30='채점'!AB$8,"정답","오답"))))))</x:f>
        <x:v>오답</x:v>
      </x:c>
      <x:c r="AC28" s="2" t="str">
        <x:f>IF('채점'!$C30="결시","결시",IF('채점'!AC$45&lt;&gt;"등록","정답 미등록",IF('채점'!AC30="","미응답",IF(NOT(ISNUMBER('채점'!AC30)),"잘못된 입력",IF(OR('채점'!AC30&lt;1,'채점'!AC30&gt;4,MOD('채점'!AC30,1)&lt;&gt;0),"잘못된 입력",IF('채점'!AC30='채점'!AC$8,"정답","오답"))))))</x:f>
        <x:v>오답</x:v>
      </x:c>
      <x:c r="AD28" s="2" t="str">
        <x:f>IF('채점'!$C30="결시","결시",IF('채점'!AD$45&lt;&gt;"등록","정답 미등록",IF('채점'!AD30="","미응답",IF(NOT(ISNUMBER('채점'!AD30)),"잘못된 입력",IF(OR('채점'!AD30&lt;1,'채점'!AD30&gt;4,MOD('채점'!AD30,1)&lt;&gt;0),"잘못된 입력",IF('채점'!AD30='채점'!AD$8,"정답","오답"))))))</x:f>
        <x:v>정답</x:v>
      </x:c>
      <x:c r="AE28" s="2" t="str">
        <x:f>IF('채점'!$C30="결시","결시",IF('채점'!AE$45&lt;&gt;"등록","정답 미등록",IF('채점'!AE30="","미응답",IF(NOT(ISNUMBER('채점'!AE30)),"잘못된 입력",IF(OR('채점'!AE30&lt;1,'채점'!AE30&gt;4,MOD('채점'!AE30,1)&lt;&gt;0),"잘못된 입력",IF('채점'!AE30='채점'!AE$8,"정답","오답"))))))</x:f>
        <x:v>오답</x:v>
      </x:c>
      <x:c r="AF28" s="2" t="str">
        <x:f>IF('채점'!$C30="결시","결시",IF('채점'!AF$45&lt;&gt;"등록","정답 미등록",IF('채점'!AF30="","미응답",IF(NOT(ISNUMBER('채점'!AF30)),"잘못된 입력",IF(OR('채점'!AF30&lt;1,'채점'!AF30&gt;4,MOD('채점'!AF30,1)&lt;&gt;0),"잘못된 입력",IF('채점'!AF30='채점'!AF$8,"정답","오답"))))))</x:f>
        <x:v>오답</x:v>
      </x:c>
      <x:c r="AG28" s="2" t="str">
        <x:f>IF('채점'!$C30="결시","결시",IF('채점'!AG$45&lt;&gt;"등록","정답 미등록",IF('채점'!AG30="","미응답",IF(NOT(ISNUMBER('채점'!AG30)),"잘못된 입력",IF(OR('채점'!AG30&lt;1,'채점'!AG30&gt;4,MOD('채점'!AG30,1)&lt;&gt;0),"잘못된 입력",IF('채점'!AG30='채점'!AG$8,"정답","오답"))))))</x:f>
        <x:v>정답</x:v>
      </x:c>
      <x:c r="AH28" s="2" t="str">
        <x:f>IF('채점'!$C30="결시","결시",IF('채점'!AH$45&lt;&gt;"등록","정답 미등록",IF('채점'!AH30="","미응답",IF(NOT(ISNUMBER('채점'!AH30)),"잘못된 입력",IF(OR('채점'!AH30&lt;1,'채점'!AH30&gt;4,MOD('채점'!AH30,1)&lt;&gt;0),"잘못된 입력",IF('채점'!AH30='채점'!AH$8,"정답","오답"))))))</x:f>
        <x:v>정답</x:v>
      </x:c>
      <x:c r="AI28" s="2" t="str">
        <x:f>IF('채점'!$C30="결시","결시",IF('채점'!AI$45&lt;&gt;"등록","정답 미등록",IF('채점'!AI30="","미응답",IF(NOT(ISNUMBER('채점'!AI30)),"잘못된 입력",IF(OR('채점'!AI30&lt;1,'채점'!AI30&gt;4,MOD('채점'!AI30,1)&lt;&gt;0),"잘못된 입력",IF('채점'!AI30='채점'!AI$8,"정답","오답"))))))</x:f>
        <x:v>오답</x:v>
      </x:c>
      <x:c r="AJ28" s="2" t="str">
        <x:f>IF('채점'!$C30="결시","결시",IF('채점'!AJ$45&lt;&gt;"등록","정답 미등록",IF('채점'!AJ30="","미응답",IF(NOT(ISNUMBER('채점'!AJ30)),"잘못된 입력",IF(OR('채점'!AJ30&lt;1,'채점'!AJ30&gt;4,MOD('채점'!AJ30,1)&lt;&gt;0),"잘못된 입력",IF('채점'!AJ30='채점'!AJ$8,"정답","오답"))))))</x:f>
        <x:v>정답</x:v>
      </x:c>
      <x:c r="AK28" s="2" t="str">
        <x:f>IF('채점'!$C30="결시","결시",IF('채점'!AK$45&lt;&gt;"등록","정답 미등록",IF('채점'!AK30="","미응답",IF(NOT(ISNUMBER('채점'!AK30)),"잘못된 입력",IF(OR('채점'!AK30&lt;1,'채점'!AK30&gt;4,MOD('채점'!AK30,1)&lt;&gt;0),"잘못된 입력",IF('채점'!AK30='채점'!AK$8,"정답","오답"))))))</x:f>
        <x:v>정답</x:v>
      </x:c>
      <x:c r="AL28" s="2" t="str">
        <x:f>IF('채점'!$C30="결시","결시",IF('채점'!AL$45&lt;&gt;"등록","정답 미등록",IF('채점'!AL30="","미응답",IF(NOT(ISNUMBER('채점'!AL30)),"잘못된 입력",IF(OR('채점'!AL30&lt;1,'채점'!AL30&gt;4,MOD('채점'!AL30,1)&lt;&gt;0),"잘못된 입력",IF('채점'!AL30='채점'!AL$8,"정답","오답"))))))</x:f>
        <x:v>오답</x:v>
      </x:c>
      <x:c r="AM28" s="2" t="str">
        <x:f>IF('채점'!$C30="결시","결시",IF('채점'!AM$45&lt;&gt;"등록","정답 미등록",IF('채점'!AM30="","미응답",IF(NOT(ISNUMBER('채점'!AM30)),"잘못된 입력",IF(OR('채점'!AM30&lt;1,'채점'!AM30&gt;4,MOD('채점'!AM30,1)&lt;&gt;0),"잘못된 입력",IF('채점'!AM30='채점'!AM$8,"정답","오답"))))))</x:f>
        <x:v>오답</x:v>
      </x:c>
      <x:c r="AN28" s="2" t="str">
        <x:f>IF('채점'!$C30="결시","결시",IF('채점'!AN$45&lt;&gt;"등록","정답 미등록",IF('채점'!AN30="","미응답",IF(NOT(ISNUMBER('채점'!AN30)),"잘못된 입력",IF(OR('채점'!AN30&lt;1,'채점'!AN30&gt;4,MOD('채점'!AN30,1)&lt;&gt;0),"잘못된 입력",IF('채점'!AN30='채점'!AN$8,"정답","오답"))))))</x:f>
        <x:v>정답</x:v>
      </x:c>
      <x:c r="AO28" s="2" t="str">
        <x:f>IF('채점'!$C30="결시","결시",IF('채점'!AO$45&lt;&gt;"등록","정답 미등록",IF('채점'!AO30="","미응답",IF(NOT(ISNUMBER('채점'!AO30)),"잘못된 입력",IF(OR('채점'!AO30&lt;1,'채점'!AO30&gt;4,MOD('채점'!AO30,1)&lt;&gt;0),"잘못된 입력",IF('채점'!AO30='채점'!AO$8,"정답","오답"))))))</x:f>
        <x:v>오답</x:v>
      </x:c>
      <x:c r="AP28" s="2" t="str">
        <x:f>IF('채점'!$C30="결시","결시",IF('채점'!AP$45&lt;&gt;"등록","정답 미등록",IF('채점'!AP30="","미응답",IF(NOT(ISNUMBER('채점'!AP30)),"잘못된 입력",IF(OR('채점'!AP30&lt;1,'채점'!AP30&gt;4,MOD('채점'!AP30,1)&lt;&gt;0),"잘못된 입력",IF('채점'!AP30='채점'!AP$8,"정답","오답"))))))</x:f>
        <x:v>오답</x:v>
      </x:c>
      <x:c r="AQ28" s="2" t="str">
        <x:f>IF('채점'!$C30="결시","결시",IF('채점'!AQ$45&lt;&gt;"등록","정답 미등록",IF('채점'!AQ30="","미응답",IF(NOT(ISNUMBER('채점'!AQ30)),"잘못된 입력",IF(OR('채점'!AQ30&lt;1,'채점'!AQ30&gt;4,MOD('채점'!AQ30,1)&lt;&gt;0),"잘못된 입력",IF('채점'!AQ30='채점'!AQ$8,"정답","오답"))))))</x:f>
        <x:v>정답</x:v>
      </x:c>
    </x:row>
    <x:row r="29" ht="25" customHeight="1">
      <x:c r="A29" s="2" t="str">
        <x:f>'채점'!A31</x:f>
        <x:v>S022</x:v>
      </x:c>
      <x:c r="B29" s="2" t="str">
        <x:f>'채점'!C31</x:f>
        <x:v>응시</x:v>
      </x:c>
      <x:c r="C29" s="2"/>
      <x:c r="D29" s="2" t="str">
        <x:f>IF('채점'!$C31="결시","결시",IF('채점'!D$45&lt;&gt;"등록","정답 미등록",IF('채점'!D31="","미응답",IF(NOT(ISNUMBER('채점'!D31)),"잘못된 입력",IF(OR('채점'!D31&lt;1,'채점'!D31&gt;4,MOD('채점'!D31,1)&lt;&gt;0),"잘못된 입력",IF('채점'!D31='채점'!D$8,"정답","오답"))))))</x:f>
        <x:v>정답</x:v>
      </x:c>
      <x:c r="E29" s="2" t="str">
        <x:f>IF('채점'!$C31="결시","결시",IF('채점'!E$45&lt;&gt;"등록","정답 미등록",IF('채점'!E31="","미응답",IF(NOT(ISNUMBER('채점'!E31)),"잘못된 입력",IF(OR('채점'!E31&lt;1,'채점'!E31&gt;4,MOD('채점'!E31,1)&lt;&gt;0),"잘못된 입력",IF('채점'!E31='채점'!E$8,"정답","오답"))))))</x:f>
        <x:v>오답</x:v>
      </x:c>
      <x:c r="F29" s="2" t="str">
        <x:f>IF('채점'!$C31="결시","결시",IF('채점'!F$45&lt;&gt;"등록","정답 미등록",IF('채점'!F31="","미응답",IF(NOT(ISNUMBER('채점'!F31)),"잘못된 입력",IF(OR('채점'!F31&lt;1,'채점'!F31&gt;4,MOD('채점'!F31,1)&lt;&gt;0),"잘못된 입력",IF('채점'!F31='채점'!F$8,"정답","오답"))))))</x:f>
        <x:v>정답</x:v>
      </x:c>
      <x:c r="G29" s="2" t="str">
        <x:f>IF('채점'!$C31="결시","결시",IF('채점'!G$45&lt;&gt;"등록","정답 미등록",IF('채점'!G31="","미응답",IF(NOT(ISNUMBER('채점'!G31)),"잘못된 입력",IF(OR('채점'!G31&lt;1,'채점'!G31&gt;4,MOD('채점'!G31,1)&lt;&gt;0),"잘못된 입력",IF('채점'!G31='채점'!G$8,"정답","오답"))))))</x:f>
        <x:v>정답</x:v>
      </x:c>
      <x:c r="H29" s="2" t="str">
        <x:f>IF('채점'!$C31="결시","결시",IF('채점'!H$45&lt;&gt;"등록","정답 미등록",IF('채점'!H31="","미응답",IF(NOT(ISNUMBER('채점'!H31)),"잘못된 입력",IF(OR('채점'!H31&lt;1,'채점'!H31&gt;4,MOD('채점'!H31,1)&lt;&gt;0),"잘못된 입력",IF('채점'!H31='채점'!H$8,"정답","오답"))))))</x:f>
        <x:v>오답</x:v>
      </x:c>
      <x:c r="I29" s="2" t="str">
        <x:f>IF('채점'!$C31="결시","결시",IF('채점'!I$45&lt;&gt;"등록","정답 미등록",IF('채점'!I31="","미응답",IF(NOT(ISNUMBER('채점'!I31)),"잘못된 입력",IF(OR('채점'!I31&lt;1,'채점'!I31&gt;4,MOD('채점'!I31,1)&lt;&gt;0),"잘못된 입력",IF('채점'!I31='채점'!I$8,"정답","오답"))))))</x:f>
        <x:v>오답</x:v>
      </x:c>
      <x:c r="J29" s="2" t="str">
        <x:f>IF('채점'!$C31="결시","결시",IF('채점'!J$45&lt;&gt;"등록","정답 미등록",IF('채점'!J31="","미응답",IF(NOT(ISNUMBER('채점'!J31)),"잘못된 입력",IF(OR('채점'!J31&lt;1,'채점'!J31&gt;4,MOD('채점'!J31,1)&lt;&gt;0),"잘못된 입력",IF('채점'!J31='채점'!J$8,"정답","오답"))))))</x:f>
        <x:v>정답</x:v>
      </x:c>
      <x:c r="K29" s="2" t="str">
        <x:f>IF('채점'!$C31="결시","결시",IF('채점'!K$45&lt;&gt;"등록","정답 미등록",IF('채점'!K31="","미응답",IF(NOT(ISNUMBER('채점'!K31)),"잘못된 입력",IF(OR('채점'!K31&lt;1,'채점'!K31&gt;4,MOD('채점'!K31,1)&lt;&gt;0),"잘못된 입력",IF('채점'!K31='채점'!K$8,"정답","오답"))))))</x:f>
        <x:v>정답</x:v>
      </x:c>
      <x:c r="L29" s="2" t="str">
        <x:f>IF('채점'!$C31="결시","결시",IF('채점'!L$45&lt;&gt;"등록","정답 미등록",IF('채점'!L31="","미응답",IF(NOT(ISNUMBER('채점'!L31)),"잘못된 입력",IF(OR('채점'!L31&lt;1,'채점'!L31&gt;4,MOD('채점'!L31,1)&lt;&gt;0),"잘못된 입력",IF('채점'!L31='채점'!L$8,"정답","오답"))))))</x:f>
        <x:v>오답</x:v>
      </x:c>
      <x:c r="M29" s="2" t="str">
        <x:f>IF('채점'!$C31="결시","결시",IF('채점'!M$45&lt;&gt;"등록","정답 미등록",IF('채점'!M31="","미응답",IF(NOT(ISNUMBER('채점'!M31)),"잘못된 입력",IF(OR('채점'!M31&lt;1,'채점'!M31&gt;4,MOD('채점'!M31,1)&lt;&gt;0),"잘못된 입력",IF('채점'!M31='채점'!M$8,"정답","오답"))))))</x:f>
        <x:v>정답</x:v>
      </x:c>
      <x:c r="N29" s="2" t="str">
        <x:f>IF('채점'!$C31="결시","결시",IF('채점'!N$45&lt;&gt;"등록","정답 미등록",IF('채점'!N31="","미응답",IF(NOT(ISNUMBER('채점'!N31)),"잘못된 입력",IF(OR('채점'!N31&lt;1,'채점'!N31&gt;4,MOD('채점'!N31,1)&lt;&gt;0),"잘못된 입력",IF('채점'!N31='채점'!N$8,"정답","오답"))))))</x:f>
        <x:v>정답</x:v>
      </x:c>
      <x:c r="O29" s="2" t="str">
        <x:f>IF('채점'!$C31="결시","결시",IF('채점'!O$45&lt;&gt;"등록","정답 미등록",IF('채점'!O31="","미응답",IF(NOT(ISNUMBER('채점'!O31)),"잘못된 입력",IF(OR('채점'!O31&lt;1,'채점'!O31&gt;4,MOD('채점'!O31,1)&lt;&gt;0),"잘못된 입력",IF('채점'!O31='채점'!O$8,"정답","오답"))))))</x:f>
        <x:v>오답</x:v>
      </x:c>
      <x:c r="P29" s="2" t="str">
        <x:f>IF('채점'!$C31="결시","결시",IF('채점'!P$45&lt;&gt;"등록","정답 미등록",IF('채점'!P31="","미응답",IF(NOT(ISNUMBER('채점'!P31)),"잘못된 입력",IF(OR('채점'!P31&lt;1,'채점'!P31&gt;4,MOD('채점'!P31,1)&lt;&gt;0),"잘못된 입력",IF('채점'!P31='채점'!P$8,"정답","오답"))))))</x:f>
        <x:v>정답</x:v>
      </x:c>
      <x:c r="Q29" s="2" t="str">
        <x:f>IF('채점'!$C31="결시","결시",IF('채점'!Q$45&lt;&gt;"등록","정답 미등록",IF('채점'!Q31="","미응답",IF(NOT(ISNUMBER('채점'!Q31)),"잘못된 입력",IF(OR('채점'!Q31&lt;1,'채점'!Q31&gt;4,MOD('채점'!Q31,1)&lt;&gt;0),"잘못된 입력",IF('채점'!Q31='채점'!Q$8,"정답","오답"))))))</x:f>
        <x:v>정답</x:v>
      </x:c>
      <x:c r="R29" s="2" t="str">
        <x:f>IF('채점'!$C31="결시","결시",IF('채점'!R$45&lt;&gt;"등록","정답 미등록",IF('채점'!R31="","미응답",IF(NOT(ISNUMBER('채점'!R31)),"잘못된 입력",IF(OR('채점'!R31&lt;1,'채점'!R31&gt;4,MOD('채점'!R31,1)&lt;&gt;0),"잘못된 입력",IF('채점'!R31='채점'!R$8,"정답","오답"))))))</x:f>
        <x:v>오답</x:v>
      </x:c>
      <x:c r="S29" s="2" t="str">
        <x:f>IF('채점'!$C31="결시","결시",IF('채점'!S$45&lt;&gt;"등록","정답 미등록",IF('채점'!S31="","미응답",IF(NOT(ISNUMBER('채점'!S31)),"잘못된 입력",IF(OR('채점'!S31&lt;1,'채점'!S31&gt;4,MOD('채점'!S31,1)&lt;&gt;0),"잘못된 입력",IF('채점'!S31='채점'!S$8,"정답","오답"))))))</x:f>
        <x:v>오답</x:v>
      </x:c>
      <x:c r="T29" s="2" t="str">
        <x:f>IF('채점'!$C31="결시","결시",IF('채점'!T$45&lt;&gt;"등록","정답 미등록",IF('채점'!T31="","미응답",IF(NOT(ISNUMBER('채점'!T31)),"잘못된 입력",IF(OR('채점'!T31&lt;1,'채점'!T31&gt;4,MOD('채점'!T31,1)&lt;&gt;0),"잘못된 입력",IF('채점'!T31='채점'!T$8,"정답","오답"))))))</x:f>
        <x:v>정답</x:v>
      </x:c>
      <x:c r="U29" s="2" t="str">
        <x:f>IF('채점'!$C31="결시","결시",IF('채점'!U$45&lt;&gt;"등록","정답 미등록",IF('채점'!U31="","미응답",IF(NOT(ISNUMBER('채점'!U31)),"잘못된 입력",IF(OR('채점'!U31&lt;1,'채점'!U31&gt;4,MOD('채점'!U31,1)&lt;&gt;0),"잘못된 입력",IF('채점'!U31='채점'!U$8,"정답","오답"))))))</x:f>
        <x:v>정답</x:v>
      </x:c>
      <x:c r="V29" s="2" t="str">
        <x:f>IF('채점'!$C31="결시","결시",IF('채점'!V$45&lt;&gt;"등록","정답 미등록",IF('채점'!V31="","미응답",IF(NOT(ISNUMBER('채점'!V31)),"잘못된 입력",IF(OR('채점'!V31&lt;1,'채점'!V31&gt;4,MOD('채점'!V31,1)&lt;&gt;0),"잘못된 입력",IF('채점'!V31='채점'!V$8,"정답","오답"))))))</x:f>
        <x:v>오답</x:v>
      </x:c>
      <x:c r="W29" s="2" t="str">
        <x:f>IF('채점'!$C31="결시","결시",IF('채점'!W$45&lt;&gt;"등록","정답 미등록",IF('채점'!W31="","미응답",IF(NOT(ISNUMBER('채점'!W31)),"잘못된 입력",IF(OR('채점'!W31&lt;1,'채점'!W31&gt;4,MOD('채점'!W31,1)&lt;&gt;0),"잘못된 입력",IF('채점'!W31='채점'!W$8,"정답","오답"))))))</x:f>
        <x:v>정답</x:v>
      </x:c>
      <x:c r="X29" s="2" t="str">
        <x:f>IF('채점'!$C31="결시","결시",IF('채점'!X$45&lt;&gt;"등록","정답 미등록",IF('채점'!X31="","미응답",IF(NOT(ISNUMBER('채점'!X31)),"잘못된 입력",IF(OR('채점'!X31&lt;1,'채점'!X31&gt;4,MOD('채점'!X31,1)&lt;&gt;0),"잘못된 입력",IF('채점'!X31='채점'!X$8,"정답","오답"))))))</x:f>
        <x:v>정답</x:v>
      </x:c>
      <x:c r="Y29" s="2" t="str">
        <x:f>IF('채점'!$C31="결시","결시",IF('채점'!Y$45&lt;&gt;"등록","정답 미등록",IF('채점'!Y31="","미응답",IF(NOT(ISNUMBER('채점'!Y31)),"잘못된 입력",IF(OR('채점'!Y31&lt;1,'채점'!Y31&gt;4,MOD('채점'!Y31,1)&lt;&gt;0),"잘못된 입력",IF('채점'!Y31='채점'!Y$8,"정답","오답"))))))</x:f>
        <x:v>오답</x:v>
      </x:c>
      <x:c r="Z29" s="2" t="str">
        <x:f>IF('채점'!$C31="결시","결시",IF('채점'!Z$45&lt;&gt;"등록","정답 미등록",IF('채점'!Z31="","미응답",IF(NOT(ISNUMBER('채점'!Z31)),"잘못된 입력",IF(OR('채점'!Z31&lt;1,'채점'!Z31&gt;4,MOD('채점'!Z31,1)&lt;&gt;0),"잘못된 입력",IF('채점'!Z31='채점'!Z$8,"정답","오답"))))))</x:f>
        <x:v>정답</x:v>
      </x:c>
      <x:c r="AA29" s="2" t="str">
        <x:f>IF('채점'!$C31="결시","결시",IF('채점'!AA$45&lt;&gt;"등록","정답 미등록",IF('채점'!AA31="","미응답",IF(NOT(ISNUMBER('채점'!AA31)),"잘못된 입력",IF(OR('채점'!AA31&lt;1,'채점'!AA31&gt;4,MOD('채점'!AA31,1)&lt;&gt;0),"잘못된 입력",IF('채점'!AA31='채점'!AA$8,"정답","오답"))))))</x:f>
        <x:v>정답</x:v>
      </x:c>
      <x:c r="AB29" s="2" t="str">
        <x:f>IF('채점'!$C31="결시","결시",IF('채점'!AB$45&lt;&gt;"등록","정답 미등록",IF('채점'!AB31="","미응답",IF(NOT(ISNUMBER('채점'!AB31)),"잘못된 입력",IF(OR('채점'!AB31&lt;1,'채점'!AB31&gt;4,MOD('채점'!AB31,1)&lt;&gt;0),"잘못된 입력",IF('채점'!AB31='채점'!AB$8,"정답","오답"))))))</x:f>
        <x:v>오답</x:v>
      </x:c>
      <x:c r="AC29" s="2" t="str">
        <x:f>IF('채점'!$C31="결시","결시",IF('채점'!AC$45&lt;&gt;"등록","정답 미등록",IF('채점'!AC31="","미응답",IF(NOT(ISNUMBER('채점'!AC31)),"잘못된 입력",IF(OR('채점'!AC31&lt;1,'채점'!AC31&gt;4,MOD('채점'!AC31,1)&lt;&gt;0),"잘못된 입력",IF('채점'!AC31='채점'!AC$8,"정답","오답"))))))</x:f>
        <x:v>오답</x:v>
      </x:c>
      <x:c r="AD29" s="2" t="str">
        <x:f>IF('채점'!$C31="결시","결시",IF('채점'!AD$45&lt;&gt;"등록","정답 미등록",IF('채점'!AD31="","미응답",IF(NOT(ISNUMBER('채점'!AD31)),"잘못된 입력",IF(OR('채점'!AD31&lt;1,'채점'!AD31&gt;4,MOD('채점'!AD31,1)&lt;&gt;0),"잘못된 입력",IF('채점'!AD31='채점'!AD$8,"정답","오답"))))))</x:f>
        <x:v>정답</x:v>
      </x:c>
      <x:c r="AE29" s="2" t="str">
        <x:f>IF('채점'!$C31="결시","결시",IF('채점'!AE$45&lt;&gt;"등록","정답 미등록",IF('채점'!AE31="","미응답",IF(NOT(ISNUMBER('채점'!AE31)),"잘못된 입력",IF(OR('채점'!AE31&lt;1,'채점'!AE31&gt;4,MOD('채점'!AE31,1)&lt;&gt;0),"잘못된 입력",IF('채점'!AE31='채점'!AE$8,"정답","오답"))))))</x:f>
        <x:v>정답</x:v>
      </x:c>
      <x:c r="AF29" s="2" t="str">
        <x:f>IF('채점'!$C31="결시","결시",IF('채점'!AF$45&lt;&gt;"등록","정답 미등록",IF('채점'!AF31="","미응답",IF(NOT(ISNUMBER('채점'!AF31)),"잘못된 입력",IF(OR('채점'!AF31&lt;1,'채점'!AF31&gt;4,MOD('채점'!AF31,1)&lt;&gt;0),"잘못된 입력",IF('채점'!AF31='채점'!AF$8,"정답","오답"))))))</x:f>
        <x:v>오답</x:v>
      </x:c>
      <x:c r="AG29" s="2" t="str">
        <x:f>IF('채점'!$C31="결시","결시",IF('채점'!AG$45&lt;&gt;"등록","정답 미등록",IF('채점'!AG31="","미응답",IF(NOT(ISNUMBER('채점'!AG31)),"잘못된 입력",IF(OR('채점'!AG31&lt;1,'채점'!AG31&gt;4,MOD('채점'!AG31,1)&lt;&gt;0),"잘못된 입력",IF('채점'!AG31='채점'!AG$8,"정답","오답"))))))</x:f>
        <x:v>정답</x:v>
      </x:c>
      <x:c r="AH29" s="2" t="str">
        <x:f>IF('채점'!$C31="결시","결시",IF('채점'!AH$45&lt;&gt;"등록","정답 미등록",IF('채점'!AH31="","미응답",IF(NOT(ISNUMBER('채점'!AH31)),"잘못된 입력",IF(OR('채점'!AH31&lt;1,'채점'!AH31&gt;4,MOD('채점'!AH31,1)&lt;&gt;0),"잘못된 입력",IF('채점'!AH31='채점'!AH$8,"정답","오답"))))))</x:f>
        <x:v>정답</x:v>
      </x:c>
      <x:c r="AI29" s="2" t="str">
        <x:f>IF('채점'!$C31="결시","결시",IF('채점'!AI$45&lt;&gt;"등록","정답 미등록",IF('채점'!AI31="","미응답",IF(NOT(ISNUMBER('채점'!AI31)),"잘못된 입력",IF(OR('채점'!AI31&lt;1,'채점'!AI31&gt;4,MOD('채점'!AI31,1)&lt;&gt;0),"잘못된 입력",IF('채점'!AI31='채점'!AI$8,"정답","오답"))))))</x:f>
        <x:v>오답</x:v>
      </x:c>
      <x:c r="AJ29" s="2" t="str">
        <x:f>IF('채점'!$C31="결시","결시",IF('채점'!AJ$45&lt;&gt;"등록","정답 미등록",IF('채점'!AJ31="","미응답",IF(NOT(ISNUMBER('채점'!AJ31)),"잘못된 입력",IF(OR('채점'!AJ31&lt;1,'채점'!AJ31&gt;4,MOD('채점'!AJ31,1)&lt;&gt;0),"잘못된 입력",IF('채점'!AJ31='채점'!AJ$8,"정답","오답"))))))</x:f>
        <x:v>정답</x:v>
      </x:c>
      <x:c r="AK29" s="2" t="str">
        <x:f>IF('채점'!$C31="결시","결시",IF('채점'!AK$45&lt;&gt;"등록","정답 미등록",IF('채점'!AK31="","미응답",IF(NOT(ISNUMBER('채점'!AK31)),"잘못된 입력",IF(OR('채점'!AK31&lt;1,'채점'!AK31&gt;4,MOD('채점'!AK31,1)&lt;&gt;0),"잘못된 입력",IF('채점'!AK31='채점'!AK$8,"정답","오답"))))))</x:f>
        <x:v>정답</x:v>
      </x:c>
      <x:c r="AL29" s="2" t="str">
        <x:f>IF('채점'!$C31="결시","결시",IF('채점'!AL$45&lt;&gt;"등록","정답 미등록",IF('채점'!AL31="","미응답",IF(NOT(ISNUMBER('채점'!AL31)),"잘못된 입력",IF(OR('채점'!AL31&lt;1,'채점'!AL31&gt;4,MOD('채점'!AL31,1)&lt;&gt;0),"잘못된 입력",IF('채점'!AL31='채점'!AL$8,"정답","오답"))))))</x:f>
        <x:v>오답</x:v>
      </x:c>
      <x:c r="AM29" s="2" t="str">
        <x:f>IF('채점'!$C31="결시","결시",IF('채점'!AM$45&lt;&gt;"등록","정답 미등록",IF('채점'!AM31="","미응답",IF(NOT(ISNUMBER('채점'!AM31)),"잘못된 입력",IF(OR('채점'!AM31&lt;1,'채점'!AM31&gt;4,MOD('채점'!AM31,1)&lt;&gt;0),"잘못된 입력",IF('채점'!AM31='채점'!AM$8,"정답","오답"))))))</x:f>
        <x:v>오답</x:v>
      </x:c>
      <x:c r="AN29" s="2" t="str">
        <x:f>IF('채점'!$C31="결시","결시",IF('채점'!AN$45&lt;&gt;"등록","정답 미등록",IF('채점'!AN31="","미응답",IF(NOT(ISNUMBER('채점'!AN31)),"잘못된 입력",IF(OR('채점'!AN31&lt;1,'채점'!AN31&gt;4,MOD('채점'!AN31,1)&lt;&gt;0),"잘못된 입력",IF('채점'!AN31='채점'!AN$8,"정답","오답"))))))</x:f>
        <x:v>정답</x:v>
      </x:c>
      <x:c r="AO29" s="2" t="str">
        <x:f>IF('채점'!$C31="결시","결시",IF('채점'!AO$45&lt;&gt;"등록","정답 미등록",IF('채점'!AO31="","미응답",IF(NOT(ISNUMBER('채점'!AO31)),"잘못된 입력",IF(OR('채점'!AO31&lt;1,'채점'!AO31&gt;4,MOD('채점'!AO31,1)&lt;&gt;0),"잘못된 입력",IF('채점'!AO31='채점'!AO$8,"정답","오답"))))))</x:f>
        <x:v>정답</x:v>
      </x:c>
      <x:c r="AP29" s="2" t="str">
        <x:f>IF('채점'!$C31="결시","결시",IF('채점'!AP$45&lt;&gt;"등록","정답 미등록",IF('채점'!AP31="","미응답",IF(NOT(ISNUMBER('채점'!AP31)),"잘못된 입력",IF(OR('채점'!AP31&lt;1,'채점'!AP31&gt;4,MOD('채점'!AP31,1)&lt;&gt;0),"잘못된 입력",IF('채점'!AP31='채점'!AP$8,"정답","오답"))))))</x:f>
        <x:v>오답</x:v>
      </x:c>
      <x:c r="AQ29" s="2" t="str">
        <x:f>IF('채점'!$C31="결시","결시",IF('채점'!AQ$45&lt;&gt;"등록","정답 미등록",IF('채점'!AQ31="","미응답",IF(NOT(ISNUMBER('채점'!AQ31)),"잘못된 입력",IF(OR('채점'!AQ31&lt;1,'채점'!AQ31&gt;4,MOD('채점'!AQ31,1)&lt;&gt;0),"잘못된 입력",IF('채점'!AQ31='채점'!AQ$8,"정답","오답"))))))</x:f>
        <x:v>정답</x:v>
      </x:c>
    </x:row>
    <x:row r="30" ht="25" customHeight="1">
      <x:c r="A30" s="2" t="str">
        <x:f>'채점'!A32</x:f>
        <x:v>S023</x:v>
      </x:c>
      <x:c r="B30" s="2" t="str">
        <x:f>'채점'!C32</x:f>
        <x:v>응시</x:v>
      </x:c>
      <x:c r="C30" s="2"/>
      <x:c r="D30" s="2" t="str">
        <x:f>IF('채점'!$C32="결시","결시",IF('채점'!D$45&lt;&gt;"등록","정답 미등록",IF('채점'!D32="","미응답",IF(NOT(ISNUMBER('채점'!D32)),"잘못된 입력",IF(OR('채점'!D32&lt;1,'채점'!D32&gt;4,MOD('채점'!D32,1)&lt;&gt;0),"잘못된 입력",IF('채점'!D32='채점'!D$8,"정답","오답"))))))</x:f>
        <x:v>정답</x:v>
      </x:c>
      <x:c r="E30" s="2" t="str">
        <x:f>IF('채점'!$C32="결시","결시",IF('채점'!E$45&lt;&gt;"등록","정답 미등록",IF('채점'!E32="","미응답",IF(NOT(ISNUMBER('채점'!E32)),"잘못된 입력",IF(OR('채점'!E32&lt;1,'채점'!E32&gt;4,MOD('채점'!E32,1)&lt;&gt;0),"잘못된 입력",IF('채점'!E32='채점'!E$8,"정답","오답"))))))</x:f>
        <x:v>오답</x:v>
      </x:c>
      <x:c r="F30" s="2" t="str">
        <x:f>IF('채점'!$C32="결시","결시",IF('채점'!F$45&lt;&gt;"등록","정답 미등록",IF('채점'!F32="","미응답",IF(NOT(ISNUMBER('채점'!F32)),"잘못된 입력",IF(OR('채점'!F32&lt;1,'채점'!F32&gt;4,MOD('채점'!F32,1)&lt;&gt;0),"잘못된 입력",IF('채점'!F32='채점'!F$8,"정답","오답"))))))</x:f>
        <x:v>정답</x:v>
      </x:c>
      <x:c r="G30" s="2" t="str">
        <x:f>IF('채점'!$C32="결시","결시",IF('채점'!G$45&lt;&gt;"등록","정답 미등록",IF('채점'!G32="","미응답",IF(NOT(ISNUMBER('채점'!G32)),"잘못된 입력",IF(OR('채점'!G32&lt;1,'채점'!G32&gt;4,MOD('채점'!G32,1)&lt;&gt;0),"잘못된 입력",IF('채점'!G32='채점'!G$8,"정답","오답"))))))</x:f>
        <x:v>정답</x:v>
      </x:c>
      <x:c r="H30" s="2" t="str">
        <x:f>IF('채점'!$C32="결시","결시",IF('채점'!H$45&lt;&gt;"등록","정답 미등록",IF('채점'!H32="","미응답",IF(NOT(ISNUMBER('채점'!H32)),"잘못된 입력",IF(OR('채점'!H32&lt;1,'채점'!H32&gt;4,MOD('채점'!H32,1)&lt;&gt;0),"잘못된 입력",IF('채점'!H32='채점'!H$8,"정답","오답"))))))</x:f>
        <x:v>정답</x:v>
      </x:c>
      <x:c r="I30" s="2" t="str">
        <x:f>IF('채점'!$C32="결시","결시",IF('채점'!I$45&lt;&gt;"등록","정답 미등록",IF('채점'!I32="","미응답",IF(NOT(ISNUMBER('채점'!I32)),"잘못된 입력",IF(OR('채점'!I32&lt;1,'채점'!I32&gt;4,MOD('채점'!I32,1)&lt;&gt;0),"잘못된 입력",IF('채점'!I32='채점'!I$8,"정답","오답"))))))</x:f>
        <x:v>오답</x:v>
      </x:c>
      <x:c r="J30" s="2" t="str">
        <x:f>IF('채점'!$C32="결시","결시",IF('채점'!J$45&lt;&gt;"등록","정답 미등록",IF('채점'!J32="","미응답",IF(NOT(ISNUMBER('채점'!J32)),"잘못된 입력",IF(OR('채점'!J32&lt;1,'채점'!J32&gt;4,MOD('채점'!J32,1)&lt;&gt;0),"잘못된 입력",IF('채점'!J32='채점'!J$8,"정답","오답"))))))</x:f>
        <x:v>정답</x:v>
      </x:c>
      <x:c r="K30" s="2" t="str">
        <x:f>IF('채점'!$C32="결시","결시",IF('채점'!K$45&lt;&gt;"등록","정답 미등록",IF('채점'!K32="","미응답",IF(NOT(ISNUMBER('채점'!K32)),"잘못된 입력",IF(OR('채점'!K32&lt;1,'채점'!K32&gt;4,MOD('채점'!K32,1)&lt;&gt;0),"잘못된 입력",IF('채점'!K32='채점'!K$8,"정답","오답"))))))</x:f>
        <x:v>정답</x:v>
      </x:c>
      <x:c r="L30" s="2" t="str">
        <x:f>IF('채점'!$C32="결시","결시",IF('채점'!L$45&lt;&gt;"등록","정답 미등록",IF('채점'!L32="","미응답",IF(NOT(ISNUMBER('채점'!L32)),"잘못된 입력",IF(OR('채점'!L32&lt;1,'채점'!L32&gt;4,MOD('채점'!L32,1)&lt;&gt;0),"잘못된 입력",IF('채점'!L32='채점'!L$8,"정답","오답"))))))</x:f>
        <x:v>오답</x:v>
      </x:c>
      <x:c r="M30" s="2" t="str">
        <x:f>IF('채점'!$C32="결시","결시",IF('채점'!M$45&lt;&gt;"등록","정답 미등록",IF('채점'!M32="","미응답",IF(NOT(ISNUMBER('채점'!M32)),"잘못된 입력",IF(OR('채점'!M32&lt;1,'채점'!M32&gt;4,MOD('채점'!M32,1)&lt;&gt;0),"잘못된 입력",IF('채점'!M32='채점'!M$8,"정답","오답"))))))</x:f>
        <x:v>정답</x:v>
      </x:c>
      <x:c r="N30" s="2" t="str">
        <x:f>IF('채점'!$C32="결시","결시",IF('채점'!N$45&lt;&gt;"등록","정답 미등록",IF('채점'!N32="","미응답",IF(NOT(ISNUMBER('채점'!N32)),"잘못된 입력",IF(OR('채점'!N32&lt;1,'채점'!N32&gt;4,MOD('채점'!N32,1)&lt;&gt;0),"잘못된 입력",IF('채점'!N32='채점'!N$8,"정답","오답"))))))</x:f>
        <x:v>정답</x:v>
      </x:c>
      <x:c r="O30" s="2" t="str">
        <x:f>IF('채점'!$C32="결시","결시",IF('채점'!O$45&lt;&gt;"등록","정답 미등록",IF('채점'!O32="","미응답",IF(NOT(ISNUMBER('채점'!O32)),"잘못된 입력",IF(OR('채점'!O32&lt;1,'채점'!O32&gt;4,MOD('채점'!O32,1)&lt;&gt;0),"잘못된 입력",IF('채점'!O32='채점'!O$8,"정답","오답"))))))</x:f>
        <x:v>오답</x:v>
      </x:c>
      <x:c r="P30" s="2" t="str">
        <x:f>IF('채점'!$C32="결시","결시",IF('채점'!P$45&lt;&gt;"등록","정답 미등록",IF('채점'!P32="","미응답",IF(NOT(ISNUMBER('채점'!P32)),"잘못된 입력",IF(OR('채점'!P32&lt;1,'채점'!P32&gt;4,MOD('채점'!P32,1)&lt;&gt;0),"잘못된 입력",IF('채점'!P32='채점'!P$8,"정답","오답"))))))</x:f>
        <x:v>정답</x:v>
      </x:c>
      <x:c r="Q30" s="2" t="str">
        <x:f>IF('채점'!$C32="결시","결시",IF('채점'!Q$45&lt;&gt;"등록","정답 미등록",IF('채점'!Q32="","미응답",IF(NOT(ISNUMBER('채점'!Q32)),"잘못된 입력",IF(OR('채점'!Q32&lt;1,'채점'!Q32&gt;4,MOD('채점'!Q32,1)&lt;&gt;0),"잘못된 입력",IF('채점'!Q32='채점'!Q$8,"정답","오답"))))))</x:f>
        <x:v>정답</x:v>
      </x:c>
      <x:c r="R30" s="2" t="str">
        <x:f>IF('채점'!$C32="결시","결시",IF('채점'!R$45&lt;&gt;"등록","정답 미등록",IF('채점'!R32="","미응답",IF(NOT(ISNUMBER('채점'!R32)),"잘못된 입력",IF(OR('채점'!R32&lt;1,'채점'!R32&gt;4,MOD('채점'!R32,1)&lt;&gt;0),"잘못된 입력",IF('채점'!R32='채점'!R$8,"정답","오답"))))))</x:f>
        <x:v>정답</x:v>
      </x:c>
      <x:c r="S30" s="2" t="str">
        <x:f>IF('채점'!$C32="결시","결시",IF('채점'!S$45&lt;&gt;"등록","정답 미등록",IF('채점'!S32="","미응답",IF(NOT(ISNUMBER('채점'!S32)),"잘못된 입력",IF(OR('채점'!S32&lt;1,'채점'!S32&gt;4,MOD('채점'!S32,1)&lt;&gt;0),"잘못된 입력",IF('채점'!S32='채점'!S$8,"정답","오답"))))))</x:f>
        <x:v>오답</x:v>
      </x:c>
      <x:c r="T30" s="2" t="str">
        <x:f>IF('채점'!$C32="결시","결시",IF('채점'!T$45&lt;&gt;"등록","정답 미등록",IF('채점'!T32="","미응답",IF(NOT(ISNUMBER('채점'!T32)),"잘못된 입력",IF(OR('채점'!T32&lt;1,'채점'!T32&gt;4,MOD('채점'!T32,1)&lt;&gt;0),"잘못된 입력",IF('채점'!T32='채점'!T$8,"정답","오답"))))))</x:f>
        <x:v>정답</x:v>
      </x:c>
      <x:c r="U30" s="2" t="str">
        <x:f>IF('채점'!$C32="결시","결시",IF('채점'!U$45&lt;&gt;"등록","정답 미등록",IF('채점'!U32="","미응답",IF(NOT(ISNUMBER('채점'!U32)),"잘못된 입력",IF(OR('채점'!U32&lt;1,'채점'!U32&gt;4,MOD('채점'!U32,1)&lt;&gt;0),"잘못된 입력",IF('채점'!U32='채점'!U$8,"정답","오답"))))))</x:f>
        <x:v>정답</x:v>
      </x:c>
      <x:c r="V30" s="2" t="str">
        <x:f>IF('채점'!$C32="결시","결시",IF('채점'!V$45&lt;&gt;"등록","정답 미등록",IF('채점'!V32="","미응답",IF(NOT(ISNUMBER('채점'!V32)),"잘못된 입력",IF(OR('채점'!V32&lt;1,'채점'!V32&gt;4,MOD('채점'!V32,1)&lt;&gt;0),"잘못된 입력",IF('채점'!V32='채점'!V$8,"정답","오답"))))))</x:f>
        <x:v>오답</x:v>
      </x:c>
      <x:c r="W30" s="2" t="str">
        <x:f>IF('채점'!$C32="결시","결시",IF('채점'!W$45&lt;&gt;"등록","정답 미등록",IF('채점'!W32="","미응답",IF(NOT(ISNUMBER('채점'!W32)),"잘못된 입력",IF(OR('채점'!W32&lt;1,'채점'!W32&gt;4,MOD('채점'!W32,1)&lt;&gt;0),"잘못된 입력",IF('채점'!W32='채점'!W$8,"정답","오답"))))))</x:f>
        <x:v>정답</x:v>
      </x:c>
      <x:c r="X30" s="2" t="str">
        <x:f>IF('채점'!$C32="결시","결시",IF('채점'!X$45&lt;&gt;"등록","정답 미등록",IF('채점'!X32="","미응답",IF(NOT(ISNUMBER('채점'!X32)),"잘못된 입력",IF(OR('채점'!X32&lt;1,'채점'!X32&gt;4,MOD('채점'!X32,1)&lt;&gt;0),"잘못된 입력",IF('채점'!X32='채점'!X$8,"정답","오답"))))))</x:f>
        <x:v>정답</x:v>
      </x:c>
      <x:c r="Y30" s="2" t="str">
        <x:f>IF('채점'!$C32="결시","결시",IF('채점'!Y$45&lt;&gt;"등록","정답 미등록",IF('채점'!Y32="","미응답",IF(NOT(ISNUMBER('채점'!Y32)),"잘못된 입력",IF(OR('채점'!Y32&lt;1,'채점'!Y32&gt;4,MOD('채점'!Y32,1)&lt;&gt;0),"잘못된 입력",IF('채점'!Y32='채점'!Y$8,"정답","오답"))))))</x:f>
        <x:v>오답</x:v>
      </x:c>
      <x:c r="Z30" s="2" t="str">
        <x:f>IF('채점'!$C32="결시","결시",IF('채점'!Z$45&lt;&gt;"등록","정답 미등록",IF('채점'!Z32="","미응답",IF(NOT(ISNUMBER('채점'!Z32)),"잘못된 입력",IF(OR('채점'!Z32&lt;1,'채점'!Z32&gt;4,MOD('채점'!Z32,1)&lt;&gt;0),"잘못된 입력",IF('채점'!Z32='채점'!Z$8,"정답","오답"))))))</x:f>
        <x:v>정답</x:v>
      </x:c>
      <x:c r="AA30" s="2" t="str">
        <x:f>IF('채점'!$C32="결시","결시",IF('채점'!AA$45&lt;&gt;"등록","정답 미등록",IF('채점'!AA32="","미응답",IF(NOT(ISNUMBER('채점'!AA32)),"잘못된 입력",IF(OR('채점'!AA32&lt;1,'채점'!AA32&gt;4,MOD('채점'!AA32,1)&lt;&gt;0),"잘못된 입력",IF('채점'!AA32='채점'!AA$8,"정답","오답"))))))</x:f>
        <x:v>정답</x:v>
      </x:c>
      <x:c r="AB30" s="2" t="str">
        <x:f>IF('채점'!$C32="결시","결시",IF('채점'!AB$45&lt;&gt;"등록","정답 미등록",IF('채점'!AB32="","미응답",IF(NOT(ISNUMBER('채점'!AB32)),"잘못된 입력",IF(OR('채점'!AB32&lt;1,'채점'!AB32&gt;4,MOD('채점'!AB32,1)&lt;&gt;0),"잘못된 입력",IF('채점'!AB32='채점'!AB$8,"정답","오답"))))))</x:f>
        <x:v>정답</x:v>
      </x:c>
      <x:c r="AC30" s="2" t="str">
        <x:f>IF('채점'!$C32="결시","결시",IF('채점'!AC$45&lt;&gt;"등록","정답 미등록",IF('채점'!AC32="","미응답",IF(NOT(ISNUMBER('채점'!AC32)),"잘못된 입력",IF(OR('채점'!AC32&lt;1,'채점'!AC32&gt;4,MOD('채점'!AC32,1)&lt;&gt;0),"잘못된 입력",IF('채점'!AC32='채점'!AC$8,"정답","오답"))))))</x:f>
        <x:v>오답</x:v>
      </x:c>
      <x:c r="AD30" s="2" t="str">
        <x:f>IF('채점'!$C32="결시","결시",IF('채점'!AD$45&lt;&gt;"등록","정답 미등록",IF('채점'!AD32="","미응답",IF(NOT(ISNUMBER('채점'!AD32)),"잘못된 입력",IF(OR('채점'!AD32&lt;1,'채점'!AD32&gt;4,MOD('채점'!AD32,1)&lt;&gt;0),"잘못된 입력",IF('채점'!AD32='채점'!AD$8,"정답","오답"))))))</x:f>
        <x:v>정답</x:v>
      </x:c>
      <x:c r="AE30" s="2" t="str">
        <x:f>IF('채점'!$C32="결시","결시",IF('채점'!AE$45&lt;&gt;"등록","정답 미등록",IF('채점'!AE32="","미응답",IF(NOT(ISNUMBER('채점'!AE32)),"잘못된 입력",IF(OR('채점'!AE32&lt;1,'채점'!AE32&gt;4,MOD('채점'!AE32,1)&lt;&gt;0),"잘못된 입력",IF('채점'!AE32='채점'!AE$8,"정답","오답"))))))</x:f>
        <x:v>정답</x:v>
      </x:c>
      <x:c r="AF30" s="2" t="str">
        <x:f>IF('채점'!$C32="결시","결시",IF('채점'!AF$45&lt;&gt;"등록","정답 미등록",IF('채점'!AF32="","미응답",IF(NOT(ISNUMBER('채점'!AF32)),"잘못된 입력",IF(OR('채점'!AF32&lt;1,'채점'!AF32&gt;4,MOD('채점'!AF32,1)&lt;&gt;0),"잘못된 입력",IF('채점'!AF32='채점'!AF$8,"정답","오답"))))))</x:f>
        <x:v>오답</x:v>
      </x:c>
      <x:c r="AG30" s="2" t="str">
        <x:f>IF('채점'!$C32="결시","결시",IF('채점'!AG$45&lt;&gt;"등록","정답 미등록",IF('채점'!AG32="","미응답",IF(NOT(ISNUMBER('채점'!AG32)),"잘못된 입력",IF(OR('채점'!AG32&lt;1,'채점'!AG32&gt;4,MOD('채점'!AG32,1)&lt;&gt;0),"잘못된 입력",IF('채점'!AG32='채점'!AG$8,"정답","오답"))))))</x:f>
        <x:v>정답</x:v>
      </x:c>
      <x:c r="AH30" s="2" t="str">
        <x:f>IF('채점'!$C32="결시","결시",IF('채점'!AH$45&lt;&gt;"등록","정답 미등록",IF('채점'!AH32="","미응답",IF(NOT(ISNUMBER('채점'!AH32)),"잘못된 입력",IF(OR('채점'!AH32&lt;1,'채점'!AH32&gt;4,MOD('채점'!AH32,1)&lt;&gt;0),"잘못된 입력",IF('채점'!AH32='채점'!AH$8,"정답","오답"))))))</x:f>
        <x:v>정답</x:v>
      </x:c>
      <x:c r="AI30" s="2" t="str">
        <x:f>IF('채점'!$C32="결시","결시",IF('채점'!AI$45&lt;&gt;"등록","정답 미등록",IF('채점'!AI32="","미응답",IF(NOT(ISNUMBER('채점'!AI32)),"잘못된 입력",IF(OR('채점'!AI32&lt;1,'채점'!AI32&gt;4,MOD('채점'!AI32,1)&lt;&gt;0),"잘못된 입력",IF('채점'!AI32='채점'!AI$8,"정답","오답"))))))</x:f>
        <x:v>오답</x:v>
      </x:c>
      <x:c r="AJ30" s="2" t="str">
        <x:f>IF('채점'!$C32="결시","결시",IF('채점'!AJ$45&lt;&gt;"등록","정답 미등록",IF('채점'!AJ32="","미응답",IF(NOT(ISNUMBER('채점'!AJ32)),"잘못된 입력",IF(OR('채점'!AJ32&lt;1,'채점'!AJ32&gt;4,MOD('채점'!AJ32,1)&lt;&gt;0),"잘못된 입력",IF('채점'!AJ32='채점'!AJ$8,"정답","오답"))))))</x:f>
        <x:v>정답</x:v>
      </x:c>
      <x:c r="AK30" s="2" t="str">
        <x:f>IF('채점'!$C32="결시","결시",IF('채점'!AK$45&lt;&gt;"등록","정답 미등록",IF('채점'!AK32="","미응답",IF(NOT(ISNUMBER('채점'!AK32)),"잘못된 입력",IF(OR('채점'!AK32&lt;1,'채점'!AK32&gt;4,MOD('채점'!AK32,1)&lt;&gt;0),"잘못된 입력",IF('채점'!AK32='채점'!AK$8,"정답","오답"))))))</x:f>
        <x:v>정답</x:v>
      </x:c>
      <x:c r="AL30" s="2" t="str">
        <x:f>IF('채점'!$C32="결시","결시",IF('채점'!AL$45&lt;&gt;"등록","정답 미등록",IF('채점'!AL32="","미응답",IF(NOT(ISNUMBER('채점'!AL32)),"잘못된 입력",IF(OR('채점'!AL32&lt;1,'채점'!AL32&gt;4,MOD('채점'!AL32,1)&lt;&gt;0),"잘못된 입력",IF('채점'!AL32='채점'!AL$8,"정답","오답"))))))</x:f>
        <x:v>정답</x:v>
      </x:c>
      <x:c r="AM30" s="2" t="str">
        <x:f>IF('채점'!$C32="결시","결시",IF('채점'!AM$45&lt;&gt;"등록","정답 미등록",IF('채점'!AM32="","미응답",IF(NOT(ISNUMBER('채점'!AM32)),"잘못된 입력",IF(OR('채점'!AM32&lt;1,'채점'!AM32&gt;4,MOD('채점'!AM32,1)&lt;&gt;0),"잘못된 입력",IF('채점'!AM32='채점'!AM$8,"정답","오답"))))))</x:f>
        <x:v>오답</x:v>
      </x:c>
      <x:c r="AN30" s="2" t="str">
        <x:f>IF('채점'!$C32="결시","결시",IF('채점'!AN$45&lt;&gt;"등록","정답 미등록",IF('채점'!AN32="","미응답",IF(NOT(ISNUMBER('채점'!AN32)),"잘못된 입력",IF(OR('채점'!AN32&lt;1,'채점'!AN32&gt;4,MOD('채점'!AN32,1)&lt;&gt;0),"잘못된 입력",IF('채점'!AN32='채점'!AN$8,"정답","오답"))))))</x:f>
        <x:v>정답</x:v>
      </x:c>
      <x:c r="AO30" s="2" t="str">
        <x:f>IF('채점'!$C32="결시","결시",IF('채점'!AO$45&lt;&gt;"등록","정답 미등록",IF('채점'!AO32="","미응답",IF(NOT(ISNUMBER('채점'!AO32)),"잘못된 입력",IF(OR('채점'!AO32&lt;1,'채점'!AO32&gt;4,MOD('채점'!AO32,1)&lt;&gt;0),"잘못된 입력",IF('채점'!AO32='채점'!AO$8,"정답","오답"))))))</x:f>
        <x:v>정답</x:v>
      </x:c>
      <x:c r="AP30" s="2" t="str">
        <x:f>IF('채점'!$C32="결시","결시",IF('채점'!AP$45&lt;&gt;"등록","정답 미등록",IF('채점'!AP32="","미응답",IF(NOT(ISNUMBER('채점'!AP32)),"잘못된 입력",IF(OR('채점'!AP32&lt;1,'채점'!AP32&gt;4,MOD('채점'!AP32,1)&lt;&gt;0),"잘못된 입력",IF('채점'!AP32='채점'!AP$8,"정답","오답"))))))</x:f>
        <x:v>오답</x:v>
      </x:c>
      <x:c r="AQ30" s="2" t="str">
        <x:f>IF('채점'!$C32="결시","결시",IF('채점'!AQ$45&lt;&gt;"등록","정답 미등록",IF('채점'!AQ32="","미응답",IF(NOT(ISNUMBER('채점'!AQ32)),"잘못된 입력",IF(OR('채점'!AQ32&lt;1,'채점'!AQ32&gt;4,MOD('채점'!AQ32,1)&lt;&gt;0),"잘못된 입력",IF('채점'!AQ32='채점'!AQ$8,"정답","오답"))))))</x:f>
        <x:v>정답</x:v>
      </x:c>
    </x:row>
    <x:row r="31" ht="25" customHeight="1">
      <x:c r="A31" s="2" t="str">
        <x:f>'채점'!A33</x:f>
        <x:v>S024</x:v>
      </x:c>
      <x:c r="B31" s="2" t="str">
        <x:f>'채점'!C33</x:f>
        <x:v>응시</x:v>
      </x:c>
      <x:c r="C31" s="2"/>
      <x:c r="D31" s="2" t="str">
        <x:f>IF('채점'!$C33="결시","결시",IF('채점'!D$45&lt;&gt;"등록","정답 미등록",IF('채점'!D33="","미응답",IF(NOT(ISNUMBER('채점'!D33)),"잘못된 입력",IF(OR('채점'!D33&lt;1,'채점'!D33&gt;4,MOD('채점'!D33,1)&lt;&gt;0),"잘못된 입력",IF('채점'!D33='채점'!D$8,"정답","오답"))))))</x:f>
        <x:v>정답</x:v>
      </x:c>
      <x:c r="E31" s="2" t="str">
        <x:f>IF('채점'!$C33="결시","결시",IF('채점'!E$45&lt;&gt;"등록","정답 미등록",IF('채점'!E33="","미응답",IF(NOT(ISNUMBER('채점'!E33)),"잘못된 입력",IF(OR('채점'!E33&lt;1,'채점'!E33&gt;4,MOD('채점'!E33,1)&lt;&gt;0),"잘못된 입력",IF('채점'!E33='채점'!E$8,"정답","오답"))))))</x:f>
        <x:v>정답</x:v>
      </x:c>
      <x:c r="F31" s="2" t="str">
        <x:f>IF('채점'!$C33="결시","결시",IF('채점'!F$45&lt;&gt;"등록","정답 미등록",IF('채점'!F33="","미응답",IF(NOT(ISNUMBER('채점'!F33)),"잘못된 입력",IF(OR('채점'!F33&lt;1,'채점'!F33&gt;4,MOD('채점'!F33,1)&lt;&gt;0),"잘못된 입력",IF('채점'!F33='채점'!F$8,"정답","오답"))))))</x:f>
        <x:v>정답</x:v>
      </x:c>
      <x:c r="G31" s="2" t="str">
        <x:f>IF('채점'!$C33="결시","결시",IF('채점'!G$45&lt;&gt;"등록","정답 미등록",IF('채점'!G33="","미응답",IF(NOT(ISNUMBER('채점'!G33)),"잘못된 입력",IF(OR('채점'!G33&lt;1,'채점'!G33&gt;4,MOD('채점'!G33,1)&lt;&gt;0),"잘못된 입력",IF('채점'!G33='채점'!G$8,"정답","오답"))))))</x:f>
        <x:v>정답</x:v>
      </x:c>
      <x:c r="H31" s="2" t="str">
        <x:f>IF('채점'!$C33="결시","결시",IF('채점'!H$45&lt;&gt;"등록","정답 미등록",IF('채점'!H33="","미응답",IF(NOT(ISNUMBER('채점'!H33)),"잘못된 입력",IF(OR('채점'!H33&lt;1,'채점'!H33&gt;4,MOD('채점'!H33,1)&lt;&gt;0),"잘못된 입력",IF('채점'!H33='채점'!H$8,"정답","오답"))))))</x:f>
        <x:v>정답</x:v>
      </x:c>
      <x:c r="I31" s="2" t="str">
        <x:f>IF('채점'!$C33="결시","결시",IF('채점'!I$45&lt;&gt;"등록","정답 미등록",IF('채점'!I33="","미응답",IF(NOT(ISNUMBER('채점'!I33)),"잘못된 입력",IF(OR('채점'!I33&lt;1,'채점'!I33&gt;4,MOD('채점'!I33,1)&lt;&gt;0),"잘못된 입력",IF('채점'!I33='채점'!I$8,"정답","오답"))))))</x:f>
        <x:v>오답</x:v>
      </x:c>
      <x:c r="J31" s="2" t="str">
        <x:f>IF('채점'!$C33="결시","결시",IF('채점'!J$45&lt;&gt;"등록","정답 미등록",IF('채점'!J33="","미응답",IF(NOT(ISNUMBER('채점'!J33)),"잘못된 입력",IF(OR('채점'!J33&lt;1,'채점'!J33&gt;4,MOD('채점'!J33,1)&lt;&gt;0),"잘못된 입력",IF('채점'!J33='채점'!J$8,"정답","오답"))))))</x:f>
        <x:v>정답</x:v>
      </x:c>
      <x:c r="K31" s="2" t="str">
        <x:f>IF('채점'!$C33="결시","결시",IF('채점'!K$45&lt;&gt;"등록","정답 미등록",IF('채점'!K33="","미응답",IF(NOT(ISNUMBER('채점'!K33)),"잘못된 입력",IF(OR('채점'!K33&lt;1,'채점'!K33&gt;4,MOD('채점'!K33,1)&lt;&gt;0),"잘못된 입력",IF('채점'!K33='채점'!K$8,"정답","오답"))))))</x:f>
        <x:v>정답</x:v>
      </x:c>
      <x:c r="L31" s="2" t="str">
        <x:f>IF('채점'!$C33="결시","결시",IF('채점'!L$45&lt;&gt;"등록","정답 미등록",IF('채점'!L33="","미응답",IF(NOT(ISNUMBER('채점'!L33)),"잘못된 입력",IF(OR('채점'!L33&lt;1,'채점'!L33&gt;4,MOD('채점'!L33,1)&lt;&gt;0),"잘못된 입력",IF('채점'!L33='채점'!L$8,"정답","오답"))))))</x:f>
        <x:v>오답</x:v>
      </x:c>
      <x:c r="M31" s="2" t="str">
        <x:f>IF('채점'!$C33="결시","결시",IF('채점'!M$45&lt;&gt;"등록","정답 미등록",IF('채점'!M33="","미응답",IF(NOT(ISNUMBER('채점'!M33)),"잘못된 입력",IF(OR('채점'!M33&lt;1,'채점'!M33&gt;4,MOD('채점'!M33,1)&lt;&gt;0),"잘못된 입력",IF('채점'!M33='채점'!M$8,"정답","오답"))))))</x:f>
        <x:v>정답</x:v>
      </x:c>
      <x:c r="N31" s="2" t="str">
        <x:f>IF('채점'!$C33="결시","결시",IF('채점'!N$45&lt;&gt;"등록","정답 미등록",IF('채점'!N33="","미응답",IF(NOT(ISNUMBER('채점'!N33)),"잘못된 입력",IF(OR('채점'!N33&lt;1,'채점'!N33&gt;4,MOD('채점'!N33,1)&lt;&gt;0),"잘못된 입력",IF('채점'!N33='채점'!N$8,"정답","오답"))))))</x:f>
        <x:v>정답</x:v>
      </x:c>
      <x:c r="O31" s="2" t="str">
        <x:f>IF('채점'!$C33="결시","결시",IF('채점'!O$45&lt;&gt;"등록","정답 미등록",IF('채점'!O33="","미응답",IF(NOT(ISNUMBER('채점'!O33)),"잘못된 입력",IF(OR('채점'!O33&lt;1,'채점'!O33&gt;4,MOD('채점'!O33,1)&lt;&gt;0),"잘못된 입력",IF('채점'!O33='채점'!O$8,"정답","오답"))))))</x:f>
        <x:v>정답</x:v>
      </x:c>
      <x:c r="P31" s="2" t="str">
        <x:f>IF('채점'!$C33="결시","결시",IF('채점'!P$45&lt;&gt;"등록","정답 미등록",IF('채점'!P33="","미응답",IF(NOT(ISNUMBER('채점'!P33)),"잘못된 입력",IF(OR('채점'!P33&lt;1,'채점'!P33&gt;4,MOD('채점'!P33,1)&lt;&gt;0),"잘못된 입력",IF('채점'!P33='채점'!P$8,"정답","오답"))))))</x:f>
        <x:v>정답</x:v>
      </x:c>
      <x:c r="Q31" s="2" t="str">
        <x:f>IF('채점'!$C33="결시","결시",IF('채점'!Q$45&lt;&gt;"등록","정답 미등록",IF('채점'!Q33="","미응답",IF(NOT(ISNUMBER('채점'!Q33)),"잘못된 입력",IF(OR('채점'!Q33&lt;1,'채점'!Q33&gt;4,MOD('채점'!Q33,1)&lt;&gt;0),"잘못된 입력",IF('채점'!Q33='채점'!Q$8,"정답","오답"))))))</x:f>
        <x:v>정답</x:v>
      </x:c>
      <x:c r="R31" s="2" t="str">
        <x:f>IF('채점'!$C33="결시","결시",IF('채점'!R$45&lt;&gt;"등록","정답 미등록",IF('채점'!R33="","미응답",IF(NOT(ISNUMBER('채점'!R33)),"잘못된 입력",IF(OR('채점'!R33&lt;1,'채점'!R33&gt;4,MOD('채점'!R33,1)&lt;&gt;0),"잘못된 입력",IF('채점'!R33='채점'!R$8,"정답","오답"))))))</x:f>
        <x:v>정답</x:v>
      </x:c>
      <x:c r="S31" s="2" t="str">
        <x:f>IF('채점'!$C33="결시","결시",IF('채점'!S$45&lt;&gt;"등록","정답 미등록",IF('채점'!S33="","미응답",IF(NOT(ISNUMBER('채점'!S33)),"잘못된 입력",IF(OR('채점'!S33&lt;1,'채점'!S33&gt;4,MOD('채점'!S33,1)&lt;&gt;0),"잘못된 입력",IF('채점'!S33='채점'!S$8,"정답","오답"))))))</x:f>
        <x:v>오답</x:v>
      </x:c>
      <x:c r="T31" s="2" t="str">
        <x:f>IF('채점'!$C33="결시","결시",IF('채점'!T$45&lt;&gt;"등록","정답 미등록",IF('채점'!T33="","미응답",IF(NOT(ISNUMBER('채점'!T33)),"잘못된 입력",IF(OR('채점'!T33&lt;1,'채점'!T33&gt;4,MOD('채점'!T33,1)&lt;&gt;0),"잘못된 입력",IF('채점'!T33='채점'!T$8,"정답","오답"))))))</x:f>
        <x:v>정답</x:v>
      </x:c>
      <x:c r="U31" s="2" t="str">
        <x:f>IF('채점'!$C33="결시","결시",IF('채점'!U$45&lt;&gt;"등록","정답 미등록",IF('채점'!U33="","미응답",IF(NOT(ISNUMBER('채점'!U33)),"잘못된 입력",IF(OR('채점'!U33&lt;1,'채점'!U33&gt;4,MOD('채점'!U33,1)&lt;&gt;0),"잘못된 입력",IF('채점'!U33='채점'!U$8,"정답","오답"))))))</x:f>
        <x:v>정답</x:v>
      </x:c>
      <x:c r="V31" s="2" t="str">
        <x:f>IF('채점'!$C33="결시","결시",IF('채점'!V$45&lt;&gt;"등록","정답 미등록",IF('채점'!V33="","미응답",IF(NOT(ISNUMBER('채점'!V33)),"잘못된 입력",IF(OR('채점'!V33&lt;1,'채점'!V33&gt;4,MOD('채점'!V33,1)&lt;&gt;0),"잘못된 입력",IF('채점'!V33='채점'!V$8,"정답","오답"))))))</x:f>
        <x:v>오답</x:v>
      </x:c>
      <x:c r="W31" s="2" t="str">
        <x:f>IF('채점'!$C33="결시","결시",IF('채점'!W$45&lt;&gt;"등록","정답 미등록",IF('채점'!W33="","미응답",IF(NOT(ISNUMBER('채점'!W33)),"잘못된 입력",IF(OR('채점'!W33&lt;1,'채점'!W33&gt;4,MOD('채점'!W33,1)&lt;&gt;0),"잘못된 입력",IF('채점'!W33='채점'!W$8,"정답","오답"))))))</x:f>
        <x:v>정답</x:v>
      </x:c>
      <x:c r="X31" s="2" t="str">
        <x:f>IF('채점'!$C33="결시","결시",IF('채점'!X$45&lt;&gt;"등록","정답 미등록",IF('채점'!X33="","미응답",IF(NOT(ISNUMBER('채점'!X33)),"잘못된 입력",IF(OR('채점'!X33&lt;1,'채점'!X33&gt;4,MOD('채점'!X33,1)&lt;&gt;0),"잘못된 입력",IF('채점'!X33='채점'!X$8,"정답","오답"))))))</x:f>
        <x:v>정답</x:v>
      </x:c>
      <x:c r="Y31" s="2" t="str">
        <x:f>IF('채점'!$C33="결시","결시",IF('채점'!Y$45&lt;&gt;"등록","정답 미등록",IF('채점'!Y33="","미응답",IF(NOT(ISNUMBER('채점'!Y33)),"잘못된 입력",IF(OR('채점'!Y33&lt;1,'채점'!Y33&gt;4,MOD('채점'!Y33,1)&lt;&gt;0),"잘못된 입력",IF('채점'!Y33='채점'!Y$8,"정답","오답"))))))</x:f>
        <x:v>정답</x:v>
      </x:c>
      <x:c r="Z31" s="2" t="str">
        <x:f>IF('채점'!$C33="결시","결시",IF('채점'!Z$45&lt;&gt;"등록","정답 미등록",IF('채점'!Z33="","미응답",IF(NOT(ISNUMBER('채점'!Z33)),"잘못된 입력",IF(OR('채점'!Z33&lt;1,'채점'!Z33&gt;4,MOD('채점'!Z33,1)&lt;&gt;0),"잘못된 입력",IF('채점'!Z33='채점'!Z$8,"정답","오답"))))))</x:f>
        <x:v>정답</x:v>
      </x:c>
      <x:c r="AA31" s="2" t="str">
        <x:f>IF('채점'!$C33="결시","결시",IF('채점'!AA$45&lt;&gt;"등록","정답 미등록",IF('채점'!AA33="","미응답",IF(NOT(ISNUMBER('채점'!AA33)),"잘못된 입력",IF(OR('채점'!AA33&lt;1,'채점'!AA33&gt;4,MOD('채점'!AA33,1)&lt;&gt;0),"잘못된 입력",IF('채점'!AA33='채점'!AA$8,"정답","오답"))))))</x:f>
        <x:v>정답</x:v>
      </x:c>
      <x:c r="AB31" s="2" t="str">
        <x:f>IF('채점'!$C33="결시","결시",IF('채점'!AB$45&lt;&gt;"등록","정답 미등록",IF('채점'!AB33="","미응답",IF(NOT(ISNUMBER('채점'!AB33)),"잘못된 입력",IF(OR('채점'!AB33&lt;1,'채점'!AB33&gt;4,MOD('채점'!AB33,1)&lt;&gt;0),"잘못된 입력",IF('채점'!AB33='채점'!AB$8,"정답","오답"))))))</x:f>
        <x:v>정답</x:v>
      </x:c>
      <x:c r="AC31" s="2" t="str">
        <x:f>IF('채점'!$C33="결시","결시",IF('채점'!AC$45&lt;&gt;"등록","정답 미등록",IF('채점'!AC33="","미응답",IF(NOT(ISNUMBER('채점'!AC33)),"잘못된 입력",IF(OR('채점'!AC33&lt;1,'채점'!AC33&gt;4,MOD('채점'!AC33,1)&lt;&gt;0),"잘못된 입력",IF('채점'!AC33='채점'!AC$8,"정답","오답"))))))</x:f>
        <x:v>오답</x:v>
      </x:c>
      <x:c r="AD31" s="2" t="str">
        <x:f>IF('채점'!$C33="결시","결시",IF('채점'!AD$45&lt;&gt;"등록","정답 미등록",IF('채점'!AD33="","미응답",IF(NOT(ISNUMBER('채점'!AD33)),"잘못된 입력",IF(OR('채점'!AD33&lt;1,'채점'!AD33&gt;4,MOD('채점'!AD33,1)&lt;&gt;0),"잘못된 입력",IF('채점'!AD33='채점'!AD$8,"정답","오답"))))))</x:f>
        <x:v>정답</x:v>
      </x:c>
      <x:c r="AE31" s="2" t="str">
        <x:f>IF('채점'!$C33="결시","결시",IF('채점'!AE$45&lt;&gt;"등록","정답 미등록",IF('채점'!AE33="","미응답",IF(NOT(ISNUMBER('채점'!AE33)),"잘못된 입력",IF(OR('채점'!AE33&lt;1,'채점'!AE33&gt;4,MOD('채점'!AE33,1)&lt;&gt;0),"잘못된 입력",IF('채점'!AE33='채점'!AE$8,"정답","오답"))))))</x:f>
        <x:v>정답</x:v>
      </x:c>
      <x:c r="AF31" s="2" t="str">
        <x:f>IF('채점'!$C33="결시","결시",IF('채점'!AF$45&lt;&gt;"등록","정답 미등록",IF('채점'!AF33="","미응답",IF(NOT(ISNUMBER('채점'!AF33)),"잘못된 입력",IF(OR('채점'!AF33&lt;1,'채점'!AF33&gt;4,MOD('채점'!AF33,1)&lt;&gt;0),"잘못된 입력",IF('채점'!AF33='채점'!AF$8,"정답","오답"))))))</x:f>
        <x:v>오답</x:v>
      </x:c>
      <x:c r="AG31" s="2" t="str">
        <x:f>IF('채점'!$C33="결시","결시",IF('채점'!AG$45&lt;&gt;"등록","정답 미등록",IF('채점'!AG33="","미응답",IF(NOT(ISNUMBER('채점'!AG33)),"잘못된 입력",IF(OR('채점'!AG33&lt;1,'채점'!AG33&gt;4,MOD('채점'!AG33,1)&lt;&gt;0),"잘못된 입력",IF('채점'!AG33='채점'!AG$8,"정답","오답"))))))</x:f>
        <x:v>정답</x:v>
      </x:c>
      <x:c r="AH31" s="2" t="str">
        <x:f>IF('채점'!$C33="결시","결시",IF('채점'!AH$45&lt;&gt;"등록","정답 미등록",IF('채점'!AH33="","미응답",IF(NOT(ISNUMBER('채점'!AH33)),"잘못된 입력",IF(OR('채점'!AH33&lt;1,'채점'!AH33&gt;4,MOD('채점'!AH33,1)&lt;&gt;0),"잘못된 입력",IF('채점'!AH33='채점'!AH$8,"정답","오답"))))))</x:f>
        <x:v>정답</x:v>
      </x:c>
      <x:c r="AI31" s="2" t="str">
        <x:f>IF('채점'!$C33="결시","결시",IF('채점'!AI$45&lt;&gt;"등록","정답 미등록",IF('채점'!AI33="","미응답",IF(NOT(ISNUMBER('채점'!AI33)),"잘못된 입력",IF(OR('채점'!AI33&lt;1,'채점'!AI33&gt;4,MOD('채점'!AI33,1)&lt;&gt;0),"잘못된 입력",IF('채점'!AI33='채점'!AI$8,"정답","오답"))))))</x:f>
        <x:v>정답</x:v>
      </x:c>
      <x:c r="AJ31" s="2" t="str">
        <x:f>IF('채점'!$C33="결시","결시",IF('채점'!AJ$45&lt;&gt;"등록","정답 미등록",IF('채점'!AJ33="","미응답",IF(NOT(ISNUMBER('채점'!AJ33)),"잘못된 입력",IF(OR('채점'!AJ33&lt;1,'채점'!AJ33&gt;4,MOD('채점'!AJ33,1)&lt;&gt;0),"잘못된 입력",IF('채점'!AJ33='채점'!AJ$8,"정답","오답"))))))</x:f>
        <x:v>정답</x:v>
      </x:c>
      <x:c r="AK31" s="2" t="str">
        <x:f>IF('채점'!$C33="결시","결시",IF('채점'!AK$45&lt;&gt;"등록","정답 미등록",IF('채점'!AK33="","미응답",IF(NOT(ISNUMBER('채점'!AK33)),"잘못된 입력",IF(OR('채점'!AK33&lt;1,'채점'!AK33&gt;4,MOD('채점'!AK33,1)&lt;&gt;0),"잘못된 입력",IF('채점'!AK33='채점'!AK$8,"정답","오답"))))))</x:f>
        <x:v>정답</x:v>
      </x:c>
      <x:c r="AL31" s="2" t="str">
        <x:f>IF('채점'!$C33="결시","결시",IF('채점'!AL$45&lt;&gt;"등록","정답 미등록",IF('채점'!AL33="","미응답",IF(NOT(ISNUMBER('채점'!AL33)),"잘못된 입력",IF(OR('채점'!AL33&lt;1,'채점'!AL33&gt;4,MOD('채점'!AL33,1)&lt;&gt;0),"잘못된 입력",IF('채점'!AL33='채점'!AL$8,"정답","오답"))))))</x:f>
        <x:v>정답</x:v>
      </x:c>
      <x:c r="AM31" s="2" t="str">
        <x:f>IF('채점'!$C33="결시","결시",IF('채점'!AM$45&lt;&gt;"등록","정답 미등록",IF('채점'!AM33="","미응답",IF(NOT(ISNUMBER('채점'!AM33)),"잘못된 입력",IF(OR('채점'!AM33&lt;1,'채점'!AM33&gt;4,MOD('채점'!AM33,1)&lt;&gt;0),"잘못된 입력",IF('채점'!AM33='채점'!AM$8,"정답","오답"))))))</x:f>
        <x:v>오답</x:v>
      </x:c>
      <x:c r="AN31" s="2" t="str">
        <x:f>IF('채점'!$C33="결시","결시",IF('채점'!AN$45&lt;&gt;"등록","정답 미등록",IF('채점'!AN33="","미응답",IF(NOT(ISNUMBER('채점'!AN33)),"잘못된 입력",IF(OR('채점'!AN33&lt;1,'채점'!AN33&gt;4,MOD('채점'!AN33,1)&lt;&gt;0),"잘못된 입력",IF('채점'!AN33='채점'!AN$8,"정답","오답"))))))</x:f>
        <x:v>정답</x:v>
      </x:c>
      <x:c r="AO31" s="2" t="str">
        <x:f>IF('채점'!$C33="결시","결시",IF('채점'!AO$45&lt;&gt;"등록","정답 미등록",IF('채점'!AO33="","미응답",IF(NOT(ISNUMBER('채점'!AO33)),"잘못된 입력",IF(OR('채점'!AO33&lt;1,'채점'!AO33&gt;4,MOD('채점'!AO33,1)&lt;&gt;0),"잘못된 입력",IF('채점'!AO33='채점'!AO$8,"정답","오답"))))))</x:f>
        <x:v>정답</x:v>
      </x:c>
      <x:c r="AP31" s="2" t="str">
        <x:f>IF('채점'!$C33="결시","결시",IF('채점'!AP$45&lt;&gt;"등록","정답 미등록",IF('채점'!AP33="","미응답",IF(NOT(ISNUMBER('채점'!AP33)),"잘못된 입력",IF(OR('채점'!AP33&lt;1,'채점'!AP33&gt;4,MOD('채점'!AP33,1)&lt;&gt;0),"잘못된 입력",IF('채점'!AP33='채점'!AP$8,"정답","오답"))))))</x:f>
        <x:v>오답</x:v>
      </x:c>
      <x:c r="AQ31" s="2" t="str">
        <x:f>IF('채점'!$C33="결시","결시",IF('채점'!AQ$45&lt;&gt;"등록","정답 미등록",IF('채점'!AQ33="","미응답",IF(NOT(ISNUMBER('채점'!AQ33)),"잘못된 입력",IF(OR('채점'!AQ33&lt;1,'채점'!AQ33&gt;4,MOD('채점'!AQ33,1)&lt;&gt;0),"잘못된 입력",IF('채점'!AQ33='채점'!AQ$8,"정답","오답"))))))</x:f>
        <x:v>정답</x:v>
      </x:c>
    </x:row>
    <x:row r="32" ht="25" customHeight="1">
      <x:c r="A32" s="2" t="str">
        <x:f>'채점'!A34</x:f>
        <x:v>S025</x:v>
      </x:c>
      <x:c r="B32" s="2" t="str">
        <x:f>'채점'!C34</x:f>
        <x:v>응시</x:v>
      </x:c>
      <x:c r="C32" s="2"/>
      <x:c r="D32" s="2" t="str">
        <x:f>IF('채점'!$C34="결시","결시",IF('채점'!D$45&lt;&gt;"등록","정답 미등록",IF('채점'!D34="","미응답",IF(NOT(ISNUMBER('채점'!D34)),"잘못된 입력",IF(OR('채점'!D34&lt;1,'채점'!D34&gt;4,MOD('채점'!D34,1)&lt;&gt;0),"잘못된 입력",IF('채점'!D34='채점'!D$8,"정답","오답"))))))</x:f>
        <x:v>정답</x:v>
      </x:c>
      <x:c r="E32" s="2" t="str">
        <x:f>IF('채점'!$C34="결시","결시",IF('채점'!E$45&lt;&gt;"등록","정답 미등록",IF('채점'!E34="","미응답",IF(NOT(ISNUMBER('채점'!E34)),"잘못된 입력",IF(OR('채점'!E34&lt;1,'채점'!E34&gt;4,MOD('채점'!E34,1)&lt;&gt;0),"잘못된 입력",IF('채점'!E34='채점'!E$8,"정답","오답"))))))</x:f>
        <x:v>정답</x:v>
      </x:c>
      <x:c r="F32" s="2" t="str">
        <x:f>IF('채점'!$C34="결시","결시",IF('채점'!F$45&lt;&gt;"등록","정답 미등록",IF('채점'!F34="","미응답",IF(NOT(ISNUMBER('채점'!F34)),"잘못된 입력",IF(OR('채점'!F34&lt;1,'채점'!F34&gt;4,MOD('채점'!F34,1)&lt;&gt;0),"잘못된 입력",IF('채점'!F34='채점'!F$8,"정답","오답"))))))</x:f>
        <x:v>오답</x:v>
      </x:c>
      <x:c r="G32" s="2" t="str">
        <x:f>IF('채점'!$C34="결시","결시",IF('채점'!G$45&lt;&gt;"등록","정답 미등록",IF('채점'!G34="","미응답",IF(NOT(ISNUMBER('채점'!G34)),"잘못된 입력",IF(OR('채점'!G34&lt;1,'채점'!G34&gt;4,MOD('채점'!G34,1)&lt;&gt;0),"잘못된 입력",IF('채점'!G34='채점'!G$8,"정답","오답"))))))</x:f>
        <x:v>미응답</x:v>
      </x:c>
      <x:c r="H32" s="2" t="str">
        <x:f>IF('채점'!$C34="결시","결시",IF('채점'!H$45&lt;&gt;"등록","정답 미등록",IF('채점'!H34="","미응답",IF(NOT(ISNUMBER('채점'!H34)),"잘못된 입력",IF(OR('채점'!H34&lt;1,'채점'!H34&gt;4,MOD('채점'!H34,1)&lt;&gt;0),"잘못된 입력",IF('채점'!H34='채점'!H$8,"정답","오답"))))))</x:f>
        <x:v>정답</x:v>
      </x:c>
      <x:c r="I32" s="2" t="str">
        <x:f>IF('채점'!$C34="결시","결시",IF('채점'!I$45&lt;&gt;"등록","정답 미등록",IF('채점'!I34="","미응답",IF(NOT(ISNUMBER('채점'!I34)),"잘못된 입력",IF(OR('채점'!I34&lt;1,'채점'!I34&gt;4,MOD('채점'!I34,1)&lt;&gt;0),"잘못된 입력",IF('채점'!I34='채점'!I$8,"정답","오답"))))))</x:f>
        <x:v>오답</x:v>
      </x:c>
      <x:c r="J32" s="2" t="str">
        <x:f>IF('채점'!$C34="결시","결시",IF('채점'!J$45&lt;&gt;"등록","정답 미등록",IF('채점'!J34="","미응답",IF(NOT(ISNUMBER('채점'!J34)),"잘못된 입력",IF(OR('채점'!J34&lt;1,'채점'!J34&gt;4,MOD('채점'!J34,1)&lt;&gt;0),"잘못된 입력",IF('채점'!J34='채점'!J$8,"정답","오답"))))))</x:f>
        <x:v>오답</x:v>
      </x:c>
      <x:c r="K32" s="2" t="str">
        <x:f>IF('채점'!$C34="결시","결시",IF('채점'!K$45&lt;&gt;"등록","정답 미등록",IF('채점'!K34="","미응답",IF(NOT(ISNUMBER('채점'!K34)),"잘못된 입력",IF(OR('채점'!K34&lt;1,'채점'!K34&gt;4,MOD('채점'!K34,1)&lt;&gt;0),"잘못된 입력",IF('채점'!K34='채점'!K$8,"정답","오답"))))))</x:f>
        <x:v>정답</x:v>
      </x:c>
      <x:c r="L32" s="2" t="str">
        <x:f>IF('채점'!$C34="결시","결시",IF('채점'!L$45&lt;&gt;"등록","정답 미등록",IF('채점'!L34="","미응답",IF(NOT(ISNUMBER('채점'!L34)),"잘못된 입력",IF(OR('채점'!L34&lt;1,'채점'!L34&gt;4,MOD('채점'!L34,1)&lt;&gt;0),"잘못된 입력",IF('채점'!L34='채점'!L$8,"정답","오답"))))))</x:f>
        <x:v>정답</x:v>
      </x:c>
      <x:c r="M32" s="2" t="str">
        <x:f>IF('채점'!$C34="결시","결시",IF('채점'!M$45&lt;&gt;"등록","정답 미등록",IF('채점'!M34="","미응답",IF(NOT(ISNUMBER('채점'!M34)),"잘못된 입력",IF(OR('채점'!M34&lt;1,'채점'!M34&gt;4,MOD('채점'!M34,1)&lt;&gt;0),"잘못된 입력",IF('채점'!M34='채점'!M$8,"정답","오답"))))))</x:f>
        <x:v>오답</x:v>
      </x:c>
      <x:c r="N32" s="2" t="str">
        <x:f>IF('채점'!$C34="결시","결시",IF('채점'!N$45&lt;&gt;"등록","정답 미등록",IF('채점'!N34="","미응답",IF(NOT(ISNUMBER('채점'!N34)),"잘못된 입력",IF(OR('채점'!N34&lt;1,'채점'!N34&gt;4,MOD('채점'!N34,1)&lt;&gt;0),"잘못된 입력",IF('채점'!N34='채점'!N$8,"정답","오답"))))))</x:f>
        <x:v>미응답</x:v>
      </x:c>
      <x:c r="O32" s="2" t="str">
        <x:f>IF('채점'!$C34="결시","결시",IF('채점'!O$45&lt;&gt;"등록","정답 미등록",IF('채점'!O34="","미응답",IF(NOT(ISNUMBER('채점'!O34)),"잘못된 입력",IF(OR('채점'!O34&lt;1,'채점'!O34&gt;4,MOD('채점'!O34,1)&lt;&gt;0),"잘못된 입력",IF('채점'!O34='채점'!O$8,"정답","오답"))))))</x:f>
        <x:v>정답</x:v>
      </x:c>
      <x:c r="P32" s="2" t="str">
        <x:f>IF('채점'!$C34="결시","결시",IF('채점'!P$45&lt;&gt;"등록","정답 미등록",IF('채점'!P34="","미응답",IF(NOT(ISNUMBER('채점'!P34)),"잘못된 입력",IF(OR('채점'!P34&lt;1,'채점'!P34&gt;4,MOD('채점'!P34,1)&lt;&gt;0),"잘못된 입력",IF('채점'!P34='채점'!P$8,"정답","오답"))))))</x:f>
        <x:v>오답</x:v>
      </x:c>
      <x:c r="Q32" s="2" t="str">
        <x:f>IF('채점'!$C34="결시","결시",IF('채점'!Q$45&lt;&gt;"등록","정답 미등록",IF('채점'!Q34="","미응답",IF(NOT(ISNUMBER('채점'!Q34)),"잘못된 입력",IF(OR('채점'!Q34&lt;1,'채점'!Q34&gt;4,MOD('채점'!Q34,1)&lt;&gt;0),"잘못된 입력",IF('채점'!Q34='채점'!Q$8,"정답","오답"))))))</x:f>
        <x:v>오답</x:v>
      </x:c>
      <x:c r="R32" s="2" t="str">
        <x:f>IF('채점'!$C34="결시","결시",IF('채점'!R$45&lt;&gt;"등록","정답 미등록",IF('채점'!R34="","미응답",IF(NOT(ISNUMBER('채점'!R34)),"잘못된 입력",IF(OR('채점'!R34&lt;1,'채점'!R34&gt;4,MOD('채점'!R34,1)&lt;&gt;0),"잘못된 입력",IF('채점'!R34='채점'!R$8,"정답","오답"))))))</x:f>
        <x:v>정답</x:v>
      </x:c>
      <x:c r="S32" s="2" t="str">
        <x:f>IF('채점'!$C34="결시","결시",IF('채점'!S$45&lt;&gt;"등록","정답 미등록",IF('채점'!S34="","미응답",IF(NOT(ISNUMBER('채점'!S34)),"잘못된 입력",IF(OR('채점'!S34&lt;1,'채점'!S34&gt;4,MOD('채점'!S34,1)&lt;&gt;0),"잘못된 입력",IF('채점'!S34='채점'!S$8,"정답","오답"))))))</x:f>
        <x:v>오답</x:v>
      </x:c>
      <x:c r="T32" s="2" t="str">
        <x:f>IF('채점'!$C34="결시","결시",IF('채점'!T$45&lt;&gt;"등록","정답 미등록",IF('채점'!T34="","미응답",IF(NOT(ISNUMBER('채점'!T34)),"잘못된 입력",IF(OR('채점'!T34&lt;1,'채점'!T34&gt;4,MOD('채점'!T34,1)&lt;&gt;0),"잘못된 입력",IF('채점'!T34='채점'!T$8,"정답","오답"))))))</x:f>
        <x:v>오답</x:v>
      </x:c>
      <x:c r="U32" s="2" t="str">
        <x:f>IF('채점'!$C34="결시","결시",IF('채점'!U$45&lt;&gt;"등록","정답 미등록",IF('채점'!U34="","미응답",IF(NOT(ISNUMBER('채점'!U34)),"잘못된 입력",IF(OR('채점'!U34&lt;1,'채점'!U34&gt;4,MOD('채점'!U34,1)&lt;&gt;0),"잘못된 입력",IF('채점'!U34='채점'!U$8,"정답","오답"))))))</x:f>
        <x:v>정답</x:v>
      </x:c>
      <x:c r="V32" s="2" t="str">
        <x:f>IF('채점'!$C34="결시","결시",IF('채점'!V$45&lt;&gt;"등록","정답 미등록",IF('채점'!V34="","미응답",IF(NOT(ISNUMBER('채점'!V34)),"잘못된 입력",IF(OR('채점'!V34&lt;1,'채점'!V34&gt;4,MOD('채점'!V34,1)&lt;&gt;0),"잘못된 입력",IF('채점'!V34='채점'!V$8,"정답","오답"))))))</x:f>
        <x:v>정답</x:v>
      </x:c>
      <x:c r="W32" s="2" t="str">
        <x:f>IF('채점'!$C34="결시","결시",IF('채점'!W$45&lt;&gt;"등록","정답 미등록",IF('채점'!W34="","미응답",IF(NOT(ISNUMBER('채점'!W34)),"잘못된 입력",IF(OR('채점'!W34&lt;1,'채점'!W34&gt;4,MOD('채점'!W34,1)&lt;&gt;0),"잘못된 입력",IF('채점'!W34='채점'!W$8,"정답","오답"))))))</x:f>
        <x:v>오답</x:v>
      </x:c>
      <x:c r="X32" s="2" t="str">
        <x:f>IF('채점'!$C34="결시","결시",IF('채점'!X$45&lt;&gt;"등록","정답 미등록",IF('채점'!X34="","미응답",IF(NOT(ISNUMBER('채점'!X34)),"잘못된 입력",IF(OR('채점'!X34&lt;1,'채점'!X34&gt;4,MOD('채점'!X34,1)&lt;&gt;0),"잘못된 입력",IF('채점'!X34='채점'!X$8,"정답","오답"))))))</x:f>
        <x:v>정답</x:v>
      </x:c>
      <x:c r="Y32" s="2" t="str">
        <x:f>IF('채점'!$C34="결시","결시",IF('채점'!Y$45&lt;&gt;"등록","정답 미등록",IF('채점'!Y34="","미응답",IF(NOT(ISNUMBER('채점'!Y34)),"잘못된 입력",IF(OR('채점'!Y34&lt;1,'채점'!Y34&gt;4,MOD('채점'!Y34,1)&lt;&gt;0),"잘못된 입력",IF('채점'!Y34='채점'!Y$8,"정답","오답"))))))</x:f>
        <x:v>정답</x:v>
      </x:c>
      <x:c r="Z32" s="2" t="str">
        <x:f>IF('채점'!$C34="결시","결시",IF('채점'!Z$45&lt;&gt;"등록","정답 미등록",IF('채점'!Z34="","미응답",IF(NOT(ISNUMBER('채점'!Z34)),"잘못된 입력",IF(OR('채점'!Z34&lt;1,'채점'!Z34&gt;4,MOD('채점'!Z34,1)&lt;&gt;0),"잘못된 입력",IF('채점'!Z34='채점'!Z$8,"정답","오답"))))))</x:f>
        <x:v>오답</x:v>
      </x:c>
      <x:c r="AA32" s="2" t="str">
        <x:f>IF('채점'!$C34="결시","결시",IF('채점'!AA$45&lt;&gt;"등록","정답 미등록",IF('채점'!AA34="","미응답",IF(NOT(ISNUMBER('채점'!AA34)),"잘못된 입력",IF(OR('채점'!AA34&lt;1,'채점'!AA34&gt;4,MOD('채점'!AA34,1)&lt;&gt;0),"잘못된 입력",IF('채점'!AA34='채점'!AA$8,"정답","오답"))))))</x:f>
        <x:v>오답</x:v>
      </x:c>
      <x:c r="AB32" s="2" t="str">
        <x:f>IF('채점'!$C34="결시","결시",IF('채점'!AB$45&lt;&gt;"등록","정답 미등록",IF('채점'!AB34="","미응답",IF(NOT(ISNUMBER('채점'!AB34)),"잘못된 입력",IF(OR('채점'!AB34&lt;1,'채점'!AB34&gt;4,MOD('채점'!AB34,1)&lt;&gt;0),"잘못된 입력",IF('채점'!AB34='채점'!AB$8,"정답","오답"))))))</x:f>
        <x:v>정답</x:v>
      </x:c>
      <x:c r="AC32" s="2" t="str">
        <x:f>IF('채점'!$C34="결시","결시",IF('채점'!AC$45&lt;&gt;"등록","정답 미등록",IF('채점'!AC34="","미응답",IF(NOT(ISNUMBER('채점'!AC34)),"잘못된 입력",IF(OR('채점'!AC34&lt;1,'채점'!AC34&gt;4,MOD('채점'!AC34,1)&lt;&gt;0),"잘못된 입력",IF('채점'!AC34='채점'!AC$8,"정답","오답"))))))</x:f>
        <x:v>오답</x:v>
      </x:c>
      <x:c r="AD32" s="2" t="str">
        <x:f>IF('채점'!$C34="결시","결시",IF('채점'!AD$45&lt;&gt;"등록","정답 미등록",IF('채점'!AD34="","미응답",IF(NOT(ISNUMBER('채점'!AD34)),"잘못된 입력",IF(OR('채점'!AD34&lt;1,'채점'!AD34&gt;4,MOD('채점'!AD34,1)&lt;&gt;0),"잘못된 입력",IF('채점'!AD34='채점'!AD$8,"정답","오답"))))))</x:f>
        <x:v>오답</x:v>
      </x:c>
      <x:c r="AE32" s="2" t="str">
        <x:f>IF('채점'!$C34="결시","결시",IF('채점'!AE$45&lt;&gt;"등록","정답 미등록",IF('채점'!AE34="","미응답",IF(NOT(ISNUMBER('채점'!AE34)),"잘못된 입력",IF(OR('채점'!AE34&lt;1,'채점'!AE34&gt;4,MOD('채점'!AE34,1)&lt;&gt;0),"잘못된 입력",IF('채점'!AE34='채점'!AE$8,"정답","오답"))))))</x:f>
        <x:v>정답</x:v>
      </x:c>
      <x:c r="AF32" s="2" t="str">
        <x:f>IF('채점'!$C34="결시","결시",IF('채점'!AF$45&lt;&gt;"등록","정답 미등록",IF('채점'!AF34="","미응답",IF(NOT(ISNUMBER('채점'!AF34)),"잘못된 입력",IF(OR('채점'!AF34&lt;1,'채점'!AF34&gt;4,MOD('채점'!AF34,1)&lt;&gt;0),"잘못된 입력",IF('채점'!AF34='채점'!AF$8,"정답","오답"))))))</x:f>
        <x:v>정답</x:v>
      </x:c>
      <x:c r="AG32" s="2" t="str">
        <x:f>IF('채점'!$C34="결시","결시",IF('채점'!AG$45&lt;&gt;"등록","정답 미등록",IF('채점'!AG34="","미응답",IF(NOT(ISNUMBER('채점'!AG34)),"잘못된 입력",IF(OR('채점'!AG34&lt;1,'채점'!AG34&gt;4,MOD('채점'!AG34,1)&lt;&gt;0),"잘못된 입력",IF('채점'!AG34='채점'!AG$8,"정답","오답"))))))</x:f>
        <x:v>오답</x:v>
      </x:c>
      <x:c r="AH32" s="2" t="str">
        <x:f>IF('채점'!$C34="결시","결시",IF('채점'!AH$45&lt;&gt;"등록","정답 미등록",IF('채점'!AH34="","미응답",IF(NOT(ISNUMBER('채점'!AH34)),"잘못된 입력",IF(OR('채점'!AH34&lt;1,'채점'!AH34&gt;4,MOD('채점'!AH34,1)&lt;&gt;0),"잘못된 입력",IF('채점'!AH34='채점'!AH$8,"정답","오답"))))))</x:f>
        <x:v>정답</x:v>
      </x:c>
      <x:c r="AI32" s="2" t="str">
        <x:f>IF('채점'!$C34="결시","결시",IF('채점'!AI$45&lt;&gt;"등록","정답 미등록",IF('채점'!AI34="","미응답",IF(NOT(ISNUMBER('채점'!AI34)),"잘못된 입력",IF(OR('채점'!AI34&lt;1,'채점'!AI34&gt;4,MOD('채점'!AI34,1)&lt;&gt;0),"잘못된 입력",IF('채점'!AI34='채점'!AI$8,"정답","오답"))))))</x:f>
        <x:v>정답</x:v>
      </x:c>
      <x:c r="AJ32" s="2" t="str">
        <x:f>IF('채점'!$C34="결시","결시",IF('채점'!AJ$45&lt;&gt;"등록","정답 미등록",IF('채점'!AJ34="","미응답",IF(NOT(ISNUMBER('채점'!AJ34)),"잘못된 입력",IF(OR('채점'!AJ34&lt;1,'채점'!AJ34&gt;4,MOD('채점'!AJ34,1)&lt;&gt;0),"잘못된 입력",IF('채점'!AJ34='채점'!AJ$8,"정답","오답"))))))</x:f>
        <x:v>오답</x:v>
      </x:c>
      <x:c r="AK32" s="2" t="str">
        <x:f>IF('채점'!$C34="결시","결시",IF('채점'!AK$45&lt;&gt;"등록","정답 미등록",IF('채점'!AK34="","미응답",IF(NOT(ISNUMBER('채점'!AK34)),"잘못된 입력",IF(OR('채점'!AK34&lt;1,'채점'!AK34&gt;4,MOD('채점'!AK34,1)&lt;&gt;0),"잘못된 입력",IF('채점'!AK34='채점'!AK$8,"정답","오답"))))))</x:f>
        <x:v>오답</x:v>
      </x:c>
      <x:c r="AL32" s="2" t="str">
        <x:f>IF('채점'!$C34="결시","결시",IF('채점'!AL$45&lt;&gt;"등록","정답 미등록",IF('채점'!AL34="","미응답",IF(NOT(ISNUMBER('채점'!AL34)),"잘못된 입력",IF(OR('채점'!AL34&lt;1,'채점'!AL34&gt;4,MOD('채점'!AL34,1)&lt;&gt;0),"잘못된 입력",IF('채점'!AL34='채점'!AL$8,"정답","오답"))))))</x:f>
        <x:v>정답</x:v>
      </x:c>
      <x:c r="AM32" s="2" t="str">
        <x:f>IF('채점'!$C34="결시","결시",IF('채점'!AM$45&lt;&gt;"등록","정답 미등록",IF('채점'!AM34="","미응답",IF(NOT(ISNUMBER('채점'!AM34)),"잘못된 입력",IF(OR('채점'!AM34&lt;1,'채점'!AM34&gt;4,MOD('채점'!AM34,1)&lt;&gt;0),"잘못된 입력",IF('채점'!AM34='채점'!AM$8,"정답","오답"))))))</x:f>
        <x:v>오답</x:v>
      </x:c>
      <x:c r="AN32" s="2" t="str">
        <x:f>IF('채점'!$C34="결시","결시",IF('채점'!AN$45&lt;&gt;"등록","정답 미등록",IF('채점'!AN34="","미응답",IF(NOT(ISNUMBER('채점'!AN34)),"잘못된 입력",IF(OR('채점'!AN34&lt;1,'채점'!AN34&gt;4,MOD('채점'!AN34,1)&lt;&gt;0),"잘못된 입력",IF('채점'!AN34='채점'!AN$8,"정답","오답"))))))</x:f>
        <x:v>오답</x:v>
      </x:c>
      <x:c r="AO32" s="2" t="str">
        <x:f>IF('채점'!$C34="결시","결시",IF('채점'!AO$45&lt;&gt;"등록","정답 미등록",IF('채점'!AO34="","미응답",IF(NOT(ISNUMBER('채점'!AO34)),"잘못된 입력",IF(OR('채점'!AO34&lt;1,'채점'!AO34&gt;4,MOD('채점'!AO34,1)&lt;&gt;0),"잘못된 입력",IF('채점'!AO34='채점'!AO$8,"정답","오답"))))))</x:f>
        <x:v>정답</x:v>
      </x:c>
      <x:c r="AP32" s="2" t="str">
        <x:f>IF('채점'!$C34="결시","결시",IF('채점'!AP$45&lt;&gt;"등록","정답 미등록",IF('채점'!AP34="","미응답",IF(NOT(ISNUMBER('채점'!AP34)),"잘못된 입력",IF(OR('채점'!AP34&lt;1,'채점'!AP34&gt;4,MOD('채점'!AP34,1)&lt;&gt;0),"잘못된 입력",IF('채점'!AP34='채점'!AP$8,"정답","오답"))))))</x:f>
        <x:v>정답</x:v>
      </x:c>
      <x:c r="AQ32" s="2" t="str">
        <x:f>IF('채점'!$C34="결시","결시",IF('채점'!AQ$45&lt;&gt;"등록","정답 미등록",IF('채점'!AQ34="","미응답",IF(NOT(ISNUMBER('채점'!AQ34)),"잘못된 입력",IF(OR('채점'!AQ34&lt;1,'채점'!AQ34&gt;4,MOD('채점'!AQ34,1)&lt;&gt;0),"잘못된 입력",IF('채점'!AQ34='채점'!AQ$8,"정답","오답"))))))</x:f>
        <x:v>오답</x:v>
      </x:c>
    </x:row>
    <x:row r="33" ht="25" customHeight="1">
      <x:c r="A33" s="2" t="str">
        <x:f>'채점'!A35</x:f>
        <x:v>S026</x:v>
      </x:c>
      <x:c r="B33" s="2" t="str">
        <x:f>'채점'!C35</x:f>
        <x:v>응시</x:v>
      </x:c>
      <x:c r="C33" s="2"/>
      <x:c r="D33" s="2" t="str">
        <x:f>IF('채점'!$C35="결시","결시",IF('채점'!D$45&lt;&gt;"등록","정답 미등록",IF('채점'!D35="","미응답",IF(NOT(ISNUMBER('채점'!D35)),"잘못된 입력",IF(OR('채점'!D35&lt;1,'채점'!D35&gt;4,MOD('채점'!D35,1)&lt;&gt;0),"잘못된 입력",IF('채점'!D35='채점'!D$8,"정답","오답"))))))</x:f>
        <x:v>정답</x:v>
      </x:c>
      <x:c r="E33" s="2" t="str">
        <x:f>IF('채점'!$C35="결시","결시",IF('채점'!E$45&lt;&gt;"등록","정답 미등록",IF('채점'!E35="","미응답",IF(NOT(ISNUMBER('채점'!E35)),"잘못된 입력",IF(OR('채점'!E35&lt;1,'채점'!E35&gt;4,MOD('채점'!E35,1)&lt;&gt;0),"잘못된 입력",IF('채점'!E35='채점'!E$8,"정답","오답"))))))</x:f>
        <x:v>정답</x:v>
      </x:c>
      <x:c r="F33" s="2" t="str">
        <x:f>IF('채점'!$C35="결시","결시",IF('채점'!F$45&lt;&gt;"등록","정답 미등록",IF('채점'!F35="","미응답",IF(NOT(ISNUMBER('채점'!F35)),"잘못된 입력",IF(OR('채점'!F35&lt;1,'채점'!F35&gt;4,MOD('채점'!F35,1)&lt;&gt;0),"잘못된 입력",IF('채점'!F35='채점'!F$8,"정답","오답"))))))</x:f>
        <x:v>오답</x:v>
      </x:c>
      <x:c r="G33" s="2" t="str">
        <x:f>IF('채점'!$C35="결시","결시",IF('채점'!G$45&lt;&gt;"등록","정답 미등록",IF('채점'!G35="","미응답",IF(NOT(ISNUMBER('채점'!G35)),"잘못된 입력",IF(OR('채점'!G35&lt;1,'채점'!G35&gt;4,MOD('채점'!G35,1)&lt;&gt;0),"잘못된 입력",IF('채점'!G35='채점'!G$8,"정답","오답"))))))</x:f>
        <x:v>오답</x:v>
      </x:c>
      <x:c r="H33" s="2" t="str">
        <x:f>IF('채점'!$C35="결시","결시",IF('채점'!H$45&lt;&gt;"등록","정답 미등록",IF('채점'!H35="","미응답",IF(NOT(ISNUMBER('채점'!H35)),"잘못된 입력",IF(OR('채점'!H35&lt;1,'채점'!H35&gt;4,MOD('채점'!H35,1)&lt;&gt;0),"잘못된 입력",IF('채점'!H35='채점'!H$8,"정답","오답"))))))</x:f>
        <x:v>정답</x:v>
      </x:c>
      <x:c r="I33" s="2" t="str">
        <x:f>IF('채점'!$C35="결시","결시",IF('채점'!I$45&lt;&gt;"등록","정답 미등록",IF('채점'!I35="","미응답",IF(NOT(ISNUMBER('채점'!I35)),"잘못된 입력",IF(OR('채점'!I35&lt;1,'채점'!I35&gt;4,MOD('채점'!I35,1)&lt;&gt;0),"잘못된 입력",IF('채점'!I35='채점'!I$8,"정답","오답"))))))</x:f>
        <x:v>정답</x:v>
      </x:c>
      <x:c r="J33" s="2" t="str">
        <x:f>IF('채점'!$C35="결시","결시",IF('채점'!J$45&lt;&gt;"등록","정답 미등록",IF('채점'!J35="","미응답",IF(NOT(ISNUMBER('채점'!J35)),"잘못된 입력",IF(OR('채점'!J35&lt;1,'채점'!J35&gt;4,MOD('채점'!J35,1)&lt;&gt;0),"잘못된 입력",IF('채점'!J35='채점'!J$8,"정답","오답"))))))</x:f>
        <x:v>오답</x:v>
      </x:c>
      <x:c r="K33" s="2" t="str">
        <x:f>IF('채점'!$C35="결시","결시",IF('채점'!K$45&lt;&gt;"등록","정답 미등록",IF('채점'!K35="","미응답",IF(NOT(ISNUMBER('채점'!K35)),"잘못된 입력",IF(OR('채점'!K35&lt;1,'채점'!K35&gt;4,MOD('채점'!K35,1)&lt;&gt;0),"잘못된 입력",IF('채점'!K35='채점'!K$8,"정답","오답"))))))</x:f>
        <x:v>정답</x:v>
      </x:c>
      <x:c r="L33" s="2" t="str">
        <x:f>IF('채점'!$C35="결시","결시",IF('채점'!L$45&lt;&gt;"등록","정답 미등록",IF('채점'!L35="","미응답",IF(NOT(ISNUMBER('채점'!L35)),"잘못된 입력",IF(OR('채점'!L35&lt;1,'채점'!L35&gt;4,MOD('채점'!L35,1)&lt;&gt;0),"잘못된 입력",IF('채점'!L35='채점'!L$8,"정답","오답"))))))</x:f>
        <x:v>잘못된 입력</x:v>
      </x:c>
      <x:c r="M33" s="2" t="str">
        <x:f>IF('채점'!$C35="결시","결시",IF('채점'!M$45&lt;&gt;"등록","정답 미등록",IF('채점'!M35="","미응답",IF(NOT(ISNUMBER('채점'!M35)),"잘못된 입력",IF(OR('채점'!M35&lt;1,'채점'!M35&gt;4,MOD('채점'!M35,1)&lt;&gt;0),"잘못된 입력",IF('채점'!M35='채점'!M$8,"정답","오답"))))))</x:f>
        <x:v>오답</x:v>
      </x:c>
      <x:c r="N33" s="2" t="str">
        <x:f>IF('채점'!$C35="결시","결시",IF('채점'!N$45&lt;&gt;"등록","정답 미등록",IF('채점'!N35="","미응답",IF(NOT(ISNUMBER('채점'!N35)),"잘못된 입력",IF(OR('채점'!N35&lt;1,'채점'!N35&gt;4,MOD('채점'!N35,1)&lt;&gt;0),"잘못된 입력",IF('채점'!N35='채점'!N$8,"정답","오답"))))))</x:f>
        <x:v>정답</x:v>
      </x:c>
      <x:c r="O33" s="2" t="str">
        <x:f>IF('채점'!$C35="결시","결시",IF('채점'!O$45&lt;&gt;"등록","정답 미등록",IF('채점'!O35="","미응답",IF(NOT(ISNUMBER('채점'!O35)),"잘못된 입력",IF(OR('채점'!O35&lt;1,'채점'!O35&gt;4,MOD('채점'!O35,1)&lt;&gt;0),"잘못된 입력",IF('채점'!O35='채점'!O$8,"정답","오답"))))))</x:f>
        <x:v>정답</x:v>
      </x:c>
      <x:c r="P33" s="2" t="str">
        <x:f>IF('채점'!$C35="결시","결시",IF('채점'!P$45&lt;&gt;"등록","정답 미등록",IF('채점'!P35="","미응답",IF(NOT(ISNUMBER('채점'!P35)),"잘못된 입력",IF(OR('채점'!P35&lt;1,'채점'!P35&gt;4,MOD('채점'!P35,1)&lt;&gt;0),"잘못된 입력",IF('채점'!P35='채점'!P$8,"정답","오답"))))))</x:f>
        <x:v>오답</x:v>
      </x:c>
      <x:c r="Q33" s="2" t="str">
        <x:f>IF('채점'!$C35="결시","결시",IF('채점'!Q$45&lt;&gt;"등록","정답 미등록",IF('채점'!Q35="","미응답",IF(NOT(ISNUMBER('채점'!Q35)),"잘못된 입력",IF(OR('채점'!Q35&lt;1,'채점'!Q35&gt;4,MOD('채점'!Q35,1)&lt;&gt;0),"잘못된 입력",IF('채점'!Q35='채점'!Q$8,"정답","오답"))))))</x:f>
        <x:v>오답</x:v>
      </x:c>
      <x:c r="R33" s="2" t="str">
        <x:f>IF('채점'!$C35="결시","결시",IF('채점'!R$45&lt;&gt;"등록","정답 미등록",IF('채점'!R35="","미응답",IF(NOT(ISNUMBER('채점'!R35)),"잘못된 입력",IF(OR('채점'!R35&lt;1,'채점'!R35&gt;4,MOD('채점'!R35,1)&lt;&gt;0),"잘못된 입력",IF('채점'!R35='채점'!R$8,"정답","오답"))))))</x:f>
        <x:v>정답</x:v>
      </x:c>
      <x:c r="S33" s="2" t="str">
        <x:f>IF('채점'!$C35="결시","결시",IF('채점'!S$45&lt;&gt;"등록","정답 미등록",IF('채점'!S35="","미응답",IF(NOT(ISNUMBER('채점'!S35)),"잘못된 입력",IF(OR('채점'!S35&lt;1,'채점'!S35&gt;4,MOD('채점'!S35,1)&lt;&gt;0),"잘못된 입력",IF('채점'!S35='채점'!S$8,"정답","오답"))))))</x:f>
        <x:v>정답</x:v>
      </x:c>
      <x:c r="T33" s="2" t="str">
        <x:f>IF('채점'!$C35="결시","결시",IF('채점'!T$45&lt;&gt;"등록","정답 미등록",IF('채점'!T35="","미응답",IF(NOT(ISNUMBER('채점'!T35)),"잘못된 입력",IF(OR('채점'!T35&lt;1,'채점'!T35&gt;4,MOD('채점'!T35,1)&lt;&gt;0),"잘못된 입력",IF('채점'!T35='채점'!T$8,"정답","오답"))))))</x:f>
        <x:v>오답</x:v>
      </x:c>
      <x:c r="U33" s="2" t="str">
        <x:f>IF('채점'!$C35="결시","결시",IF('채점'!U$45&lt;&gt;"등록","정답 미등록",IF('채점'!U35="","미응답",IF(NOT(ISNUMBER('채점'!U35)),"잘못된 입력",IF(OR('채점'!U35&lt;1,'채점'!U35&gt;4,MOD('채점'!U35,1)&lt;&gt;0),"잘못된 입력",IF('채점'!U35='채점'!U$8,"정답","오답"))))))</x:f>
        <x:v>정답</x:v>
      </x:c>
      <x:c r="V33" s="2" t="str">
        <x:f>IF('채점'!$C35="결시","결시",IF('채점'!V$45&lt;&gt;"등록","정답 미등록",IF('채점'!V35="","미응답",IF(NOT(ISNUMBER('채점'!V35)),"잘못된 입력",IF(OR('채점'!V35&lt;1,'채점'!V35&gt;4,MOD('채점'!V35,1)&lt;&gt;0),"잘못된 입력",IF('채점'!V35='채점'!V$8,"정답","오답"))))))</x:f>
        <x:v>정답</x:v>
      </x:c>
      <x:c r="W33" s="2" t="str">
        <x:f>IF('채점'!$C35="결시","결시",IF('채점'!W$45&lt;&gt;"등록","정답 미등록",IF('채점'!W35="","미응답",IF(NOT(ISNUMBER('채점'!W35)),"잘못된 입력",IF(OR('채점'!W35&lt;1,'채점'!W35&gt;4,MOD('채점'!W35,1)&lt;&gt;0),"잘못된 입력",IF('채점'!W35='채점'!W$8,"정답","오답"))))))</x:f>
        <x:v>오답</x:v>
      </x:c>
      <x:c r="X33" s="2" t="str">
        <x:f>IF('채점'!$C35="결시","결시",IF('채점'!X$45&lt;&gt;"등록","정답 미등록",IF('채점'!X35="","미응답",IF(NOT(ISNUMBER('채점'!X35)),"잘못된 입력",IF(OR('채점'!X35&lt;1,'채점'!X35&gt;4,MOD('채점'!X35,1)&lt;&gt;0),"잘못된 입력",IF('채점'!X35='채점'!X$8,"정답","오답"))))))</x:f>
        <x:v>정답</x:v>
      </x:c>
      <x:c r="Y33" s="2" t="str">
        <x:f>IF('채점'!$C35="결시","결시",IF('채점'!Y$45&lt;&gt;"등록","정답 미등록",IF('채점'!Y35="","미응답",IF(NOT(ISNUMBER('채점'!Y35)),"잘못된 입력",IF(OR('채점'!Y35&lt;1,'채점'!Y35&gt;4,MOD('채점'!Y35,1)&lt;&gt;0),"잘못된 입력",IF('채점'!Y35='채점'!Y$8,"정답","오답"))))))</x:f>
        <x:v>정답</x:v>
      </x:c>
      <x:c r="Z33" s="2" t="str">
        <x:f>IF('채점'!$C35="결시","결시",IF('채점'!Z$45&lt;&gt;"등록","정답 미등록",IF('채점'!Z35="","미응답",IF(NOT(ISNUMBER('채점'!Z35)),"잘못된 입력",IF(OR('채점'!Z35&lt;1,'채점'!Z35&gt;4,MOD('채점'!Z35,1)&lt;&gt;0),"잘못된 입력",IF('채점'!Z35='채점'!Z$8,"정답","오답"))))))</x:f>
        <x:v>오답</x:v>
      </x:c>
      <x:c r="AA33" s="2" t="str">
        <x:f>IF('채점'!$C35="결시","결시",IF('채점'!AA$45&lt;&gt;"등록","정답 미등록",IF('채점'!AA35="","미응답",IF(NOT(ISNUMBER('채점'!AA35)),"잘못된 입력",IF(OR('채점'!AA35&lt;1,'채점'!AA35&gt;4,MOD('채점'!AA35,1)&lt;&gt;0),"잘못된 입력",IF('채점'!AA35='채점'!AA$8,"정답","오답"))))))</x:f>
        <x:v>오답</x:v>
      </x:c>
      <x:c r="AB33" s="2" t="str">
        <x:f>IF('채점'!$C35="결시","결시",IF('채점'!AB$45&lt;&gt;"등록","정답 미등록",IF('채점'!AB35="","미응답",IF(NOT(ISNUMBER('채점'!AB35)),"잘못된 입력",IF(OR('채점'!AB35&lt;1,'채점'!AB35&gt;4,MOD('채점'!AB35,1)&lt;&gt;0),"잘못된 입력",IF('채점'!AB35='채점'!AB$8,"정답","오답"))))))</x:f>
        <x:v>정답</x:v>
      </x:c>
      <x:c r="AC33" s="2" t="str">
        <x:f>IF('채점'!$C35="결시","결시",IF('채점'!AC$45&lt;&gt;"등록","정답 미등록",IF('채점'!AC35="","미응답",IF(NOT(ISNUMBER('채점'!AC35)),"잘못된 입력",IF(OR('채점'!AC35&lt;1,'채점'!AC35&gt;4,MOD('채점'!AC35,1)&lt;&gt;0),"잘못된 입력",IF('채점'!AC35='채점'!AC$8,"정답","오답"))))))</x:f>
        <x:v>정답</x:v>
      </x:c>
      <x:c r="AD33" s="2" t="str">
        <x:f>IF('채점'!$C35="결시","결시",IF('채점'!AD$45&lt;&gt;"등록","정답 미등록",IF('채점'!AD35="","미응답",IF(NOT(ISNUMBER('채점'!AD35)),"잘못된 입력",IF(OR('채점'!AD35&lt;1,'채점'!AD35&gt;4,MOD('채점'!AD35,1)&lt;&gt;0),"잘못된 입력",IF('채점'!AD35='채점'!AD$8,"정답","오답"))))))</x:f>
        <x:v>오답</x:v>
      </x:c>
      <x:c r="AE33" s="2" t="str">
        <x:f>IF('채점'!$C35="결시","결시",IF('채점'!AE$45&lt;&gt;"등록","정답 미등록",IF('채점'!AE35="","미응답",IF(NOT(ISNUMBER('채점'!AE35)),"잘못된 입력",IF(OR('채점'!AE35&lt;1,'채점'!AE35&gt;4,MOD('채점'!AE35,1)&lt;&gt;0),"잘못된 입력",IF('채점'!AE35='채점'!AE$8,"정답","오답"))))))</x:f>
        <x:v>정답</x:v>
      </x:c>
      <x:c r="AF33" s="2" t="str">
        <x:f>IF('채점'!$C35="결시","결시",IF('채점'!AF$45&lt;&gt;"등록","정답 미등록",IF('채점'!AF35="","미응답",IF(NOT(ISNUMBER('채점'!AF35)),"잘못된 입력",IF(OR('채점'!AF35&lt;1,'채점'!AF35&gt;4,MOD('채점'!AF35,1)&lt;&gt;0),"잘못된 입력",IF('채점'!AF35='채점'!AF$8,"정답","오답"))))))</x:f>
        <x:v>정답</x:v>
      </x:c>
      <x:c r="AG33" s="2" t="str">
        <x:f>IF('채점'!$C35="결시","결시",IF('채점'!AG$45&lt;&gt;"등록","정답 미등록",IF('채점'!AG35="","미응답",IF(NOT(ISNUMBER('채점'!AG35)),"잘못된 입력",IF(OR('채점'!AG35&lt;1,'채점'!AG35&gt;4,MOD('채점'!AG35,1)&lt;&gt;0),"잘못된 입력",IF('채점'!AG35='채점'!AG$8,"정답","오답"))))))</x:f>
        <x:v>오답</x:v>
      </x:c>
      <x:c r="AH33" s="2" t="str">
        <x:f>IF('채점'!$C35="결시","결시",IF('채점'!AH$45&lt;&gt;"등록","정답 미등록",IF('채점'!AH35="","미응답",IF(NOT(ISNUMBER('채점'!AH35)),"잘못된 입력",IF(OR('채점'!AH35&lt;1,'채점'!AH35&gt;4,MOD('채점'!AH35,1)&lt;&gt;0),"잘못된 입력",IF('채점'!AH35='채점'!AH$8,"정답","오답"))))))</x:f>
        <x:v>정답</x:v>
      </x:c>
      <x:c r="AI33" s="2" t="str">
        <x:f>IF('채점'!$C35="결시","결시",IF('채점'!AI$45&lt;&gt;"등록","정답 미등록",IF('채점'!AI35="","미응답",IF(NOT(ISNUMBER('채점'!AI35)),"잘못된 입력",IF(OR('채점'!AI35&lt;1,'채점'!AI35&gt;4,MOD('채점'!AI35,1)&lt;&gt;0),"잘못된 입력",IF('채점'!AI35='채점'!AI$8,"정답","오답"))))))</x:f>
        <x:v>정답</x:v>
      </x:c>
      <x:c r="AJ33" s="2" t="str">
        <x:f>IF('채점'!$C35="결시","결시",IF('채점'!AJ$45&lt;&gt;"등록","정답 미등록",IF('채점'!AJ35="","미응답",IF(NOT(ISNUMBER('채점'!AJ35)),"잘못된 입력",IF(OR('채점'!AJ35&lt;1,'채점'!AJ35&gt;4,MOD('채점'!AJ35,1)&lt;&gt;0),"잘못된 입력",IF('채점'!AJ35='채점'!AJ$8,"정답","오답"))))))</x:f>
        <x:v>오답</x:v>
      </x:c>
      <x:c r="AK33" s="2" t="str">
        <x:f>IF('채점'!$C35="결시","결시",IF('채점'!AK$45&lt;&gt;"등록","정답 미등록",IF('채점'!AK35="","미응답",IF(NOT(ISNUMBER('채점'!AK35)),"잘못된 입력",IF(OR('채점'!AK35&lt;1,'채점'!AK35&gt;4,MOD('채점'!AK35,1)&lt;&gt;0),"잘못된 입력",IF('채점'!AK35='채점'!AK$8,"정답","오답"))))))</x:f>
        <x:v>오답</x:v>
      </x:c>
      <x:c r="AL33" s="2" t="str">
        <x:f>IF('채점'!$C35="결시","결시",IF('채점'!AL$45&lt;&gt;"등록","정답 미등록",IF('채점'!AL35="","미응답",IF(NOT(ISNUMBER('채점'!AL35)),"잘못된 입력",IF(OR('채점'!AL35&lt;1,'채점'!AL35&gt;4,MOD('채점'!AL35,1)&lt;&gt;0),"잘못된 입력",IF('채점'!AL35='채점'!AL$8,"정답","오답"))))))</x:f>
        <x:v>정답</x:v>
      </x:c>
      <x:c r="AM33" s="2" t="str">
        <x:f>IF('채점'!$C35="결시","결시",IF('채점'!AM$45&lt;&gt;"등록","정답 미등록",IF('채점'!AM35="","미응답",IF(NOT(ISNUMBER('채점'!AM35)),"잘못된 입력",IF(OR('채점'!AM35&lt;1,'채점'!AM35&gt;4,MOD('채점'!AM35,1)&lt;&gt;0),"잘못된 입력",IF('채점'!AM35='채점'!AM$8,"정답","오답"))))))</x:f>
        <x:v>정답</x:v>
      </x:c>
      <x:c r="AN33" s="2" t="str">
        <x:f>IF('채점'!$C35="결시","결시",IF('채점'!AN$45&lt;&gt;"등록","정답 미등록",IF('채점'!AN35="","미응답",IF(NOT(ISNUMBER('채점'!AN35)),"잘못된 입력",IF(OR('채점'!AN35&lt;1,'채점'!AN35&gt;4,MOD('채점'!AN35,1)&lt;&gt;0),"잘못된 입력",IF('채점'!AN35='채점'!AN$8,"정답","오답"))))))</x:f>
        <x:v>오답</x:v>
      </x:c>
      <x:c r="AO33" s="2" t="str">
        <x:f>IF('채점'!$C35="결시","결시",IF('채점'!AO$45&lt;&gt;"등록","정답 미등록",IF('채점'!AO35="","미응답",IF(NOT(ISNUMBER('채점'!AO35)),"잘못된 입력",IF(OR('채점'!AO35&lt;1,'채점'!AO35&gt;4,MOD('채점'!AO35,1)&lt;&gt;0),"잘못된 입력",IF('채점'!AO35='채점'!AO$8,"정답","오답"))))))</x:f>
        <x:v>정답</x:v>
      </x:c>
      <x:c r="AP33" s="2" t="str">
        <x:f>IF('채점'!$C35="결시","결시",IF('채점'!AP$45&lt;&gt;"등록","정답 미등록",IF('채점'!AP35="","미응답",IF(NOT(ISNUMBER('채점'!AP35)),"잘못된 입력",IF(OR('채점'!AP35&lt;1,'채점'!AP35&gt;4,MOD('채점'!AP35,1)&lt;&gt;0),"잘못된 입력",IF('채점'!AP35='채점'!AP$8,"정답","오답"))))))</x:f>
        <x:v>정답</x:v>
      </x:c>
      <x:c r="AQ33" s="2" t="str">
        <x:f>IF('채점'!$C35="결시","결시",IF('채점'!AQ$45&lt;&gt;"등록","정답 미등록",IF('채점'!AQ35="","미응답",IF(NOT(ISNUMBER('채점'!AQ35)),"잘못된 입력",IF(OR('채점'!AQ35&lt;1,'채점'!AQ35&gt;4,MOD('채점'!AQ35,1)&lt;&gt;0),"잘못된 입력",IF('채점'!AQ35='채점'!AQ$8,"정답","오답"))))))</x:f>
        <x:v>오답</x:v>
      </x:c>
    </x:row>
    <x:row r="34" ht="25" customHeight="1">
      <x:c r="A34" s="2" t="str">
        <x:f>'채점'!A36</x:f>
        <x:v>S027</x:v>
      </x:c>
      <x:c r="B34" s="2" t="str">
        <x:f>'채점'!C36</x:f>
        <x:v>응시</x:v>
      </x:c>
      <x:c r="C34" s="2"/>
      <x:c r="D34" s="2" t="str">
        <x:f>IF('채점'!$C36="결시","결시",IF('채점'!D$45&lt;&gt;"등록","정답 미등록",IF('채점'!D36="","미응답",IF(NOT(ISNUMBER('채점'!D36)),"잘못된 입력",IF(OR('채점'!D36&lt;1,'채점'!D36&gt;4,MOD('채점'!D36,1)&lt;&gt;0),"잘못된 입력",IF('채점'!D36='채점'!D$8,"정답","오답"))))))</x:f>
        <x:v>정답</x:v>
      </x:c>
      <x:c r="E34" s="2" t="str">
        <x:f>IF('채점'!$C36="결시","결시",IF('채점'!E$45&lt;&gt;"등록","정답 미등록",IF('채점'!E36="","미응답",IF(NOT(ISNUMBER('채점'!E36)),"잘못된 입력",IF(OR('채점'!E36&lt;1,'채점'!E36&gt;4,MOD('채점'!E36,1)&lt;&gt;0),"잘못된 입력",IF('채점'!E36='채점'!E$8,"정답","오답"))))))</x:f>
        <x:v>오답</x:v>
      </x:c>
      <x:c r="F34" s="2" t="str">
        <x:f>IF('채점'!$C36="결시","결시",IF('채점'!F$45&lt;&gt;"등록","정답 미등록",IF('채점'!F36="","미응답",IF(NOT(ISNUMBER('채점'!F36)),"잘못된 입력",IF(OR('채점'!F36&lt;1,'채점'!F36&gt;4,MOD('채점'!F36,1)&lt;&gt;0),"잘못된 입력",IF('채점'!F36='채점'!F$8,"정답","오답"))))))</x:f>
        <x:v>정답</x:v>
      </x:c>
      <x:c r="G34" s="2" t="str">
        <x:f>IF('채점'!$C36="결시","결시",IF('채점'!G$45&lt;&gt;"등록","정답 미등록",IF('채점'!G36="","미응답",IF(NOT(ISNUMBER('채점'!G36)),"잘못된 입력",IF(OR('채점'!G36&lt;1,'채점'!G36&gt;4,MOD('채점'!G36,1)&lt;&gt;0),"잘못된 입력",IF('채점'!G36='채점'!G$8,"정답","오답"))))))</x:f>
        <x:v>정답</x:v>
      </x:c>
      <x:c r="H34" s="2" t="str">
        <x:f>IF('채점'!$C36="결시","결시",IF('채점'!H$45&lt;&gt;"등록","정답 미등록",IF('채점'!H36="","미응답",IF(NOT(ISNUMBER('채점'!H36)),"잘못된 입력",IF(OR('채점'!H36&lt;1,'채점'!H36&gt;4,MOD('채점'!H36,1)&lt;&gt;0),"잘못된 입력",IF('채점'!H36='채점'!H$8,"정답","오답"))))))</x:f>
        <x:v>오답</x:v>
      </x:c>
      <x:c r="I34" s="2" t="str">
        <x:f>IF('채점'!$C36="결시","결시",IF('채점'!I$45&lt;&gt;"등록","정답 미등록",IF('채점'!I36="","미응답",IF(NOT(ISNUMBER('채점'!I36)),"잘못된 입력",IF(OR('채점'!I36&lt;1,'채점'!I36&gt;4,MOD('채점'!I36,1)&lt;&gt;0),"잘못된 입력",IF('채점'!I36='채점'!I$8,"정답","오답"))))))</x:f>
        <x:v>오답</x:v>
      </x:c>
      <x:c r="J34" s="2" t="str">
        <x:f>IF('채점'!$C36="결시","결시",IF('채점'!J$45&lt;&gt;"등록","정답 미등록",IF('채점'!J36="","미응답",IF(NOT(ISNUMBER('채점'!J36)),"잘못된 입력",IF(OR('채점'!J36&lt;1,'채점'!J36&gt;4,MOD('채점'!J36,1)&lt;&gt;0),"잘못된 입력",IF('채점'!J36='채점'!J$8,"정답","오답"))))))</x:f>
        <x:v>정답</x:v>
      </x:c>
      <x:c r="K34" s="2" t="str">
        <x:f>IF('채점'!$C36="결시","결시",IF('채점'!K$45&lt;&gt;"등록","정답 미등록",IF('채점'!K36="","미응답",IF(NOT(ISNUMBER('채점'!K36)),"잘못된 입력",IF(OR('채점'!K36&lt;1,'채점'!K36&gt;4,MOD('채점'!K36,1)&lt;&gt;0),"잘못된 입력",IF('채점'!K36='채점'!K$8,"정답","오답"))))))</x:f>
        <x:v>오답</x:v>
      </x:c>
      <x:c r="L34" s="2" t="str">
        <x:f>IF('채점'!$C36="결시","결시",IF('채점'!L$45&lt;&gt;"등록","정답 미등록",IF('채점'!L36="","미응답",IF(NOT(ISNUMBER('채점'!L36)),"잘못된 입력",IF(OR('채점'!L36&lt;1,'채점'!L36&gt;4,MOD('채점'!L36,1)&lt;&gt;0),"잘못된 입력",IF('채점'!L36='채점'!L$8,"정답","오답"))))))</x:f>
        <x:v>오답</x:v>
      </x:c>
      <x:c r="M34" s="2" t="str">
        <x:f>IF('채점'!$C36="결시","결시",IF('채점'!M$45&lt;&gt;"등록","정답 미등록",IF('채점'!M36="","미응답",IF(NOT(ISNUMBER('채점'!M36)),"잘못된 입력",IF(OR('채점'!M36&lt;1,'채점'!M36&gt;4,MOD('채점'!M36,1)&lt;&gt;0),"잘못된 입력",IF('채점'!M36='채점'!M$8,"정답","오답"))))))</x:f>
        <x:v>정답</x:v>
      </x:c>
      <x:c r="N34" s="2" t="str">
        <x:f>IF('채점'!$C36="결시","결시",IF('채점'!N$45&lt;&gt;"등록","정답 미등록",IF('채점'!N36="","미응답",IF(NOT(ISNUMBER('채점'!N36)),"잘못된 입력",IF(OR('채점'!N36&lt;1,'채점'!N36&gt;4,MOD('채점'!N36,1)&lt;&gt;0),"잘못된 입력",IF('채점'!N36='채점'!N$8,"정답","오답"))))))</x:f>
        <x:v>정답</x:v>
      </x:c>
      <x:c r="O34" s="2" t="str">
        <x:f>IF('채점'!$C36="결시","결시",IF('채점'!O$45&lt;&gt;"등록","정답 미등록",IF('채점'!O36="","미응답",IF(NOT(ISNUMBER('채점'!O36)),"잘못된 입력",IF(OR('채점'!O36&lt;1,'채점'!O36&gt;4,MOD('채점'!O36,1)&lt;&gt;0),"잘못된 입력",IF('채점'!O36='채점'!O$8,"정답","오답"))))))</x:f>
        <x:v>오답</x:v>
      </x:c>
      <x:c r="P34" s="2" t="str">
        <x:f>IF('채점'!$C36="결시","결시",IF('채점'!P$45&lt;&gt;"등록","정답 미등록",IF('채점'!P36="","미응답",IF(NOT(ISNUMBER('채점'!P36)),"잘못된 입력",IF(OR('채점'!P36&lt;1,'채점'!P36&gt;4,MOD('채점'!P36,1)&lt;&gt;0),"잘못된 입력",IF('채점'!P36='채점'!P$8,"정답","오답"))))))</x:f>
        <x:v>정답</x:v>
      </x:c>
      <x:c r="Q34" s="2" t="str">
        <x:f>IF('채점'!$C36="결시","결시",IF('채점'!Q$45&lt;&gt;"등록","정답 미등록",IF('채점'!Q36="","미응답",IF(NOT(ISNUMBER('채점'!Q36)),"잘못된 입력",IF(OR('채점'!Q36&lt;1,'채점'!Q36&gt;4,MOD('채점'!Q36,1)&lt;&gt;0),"잘못된 입력",IF('채점'!Q36='채점'!Q$8,"정답","오답"))))))</x:f>
        <x:v>정답</x:v>
      </x:c>
      <x:c r="R34" s="2" t="str">
        <x:f>IF('채점'!$C36="결시","결시",IF('채점'!R$45&lt;&gt;"등록","정답 미등록",IF('채점'!R36="","미응답",IF(NOT(ISNUMBER('채점'!R36)),"잘못된 입력",IF(OR('채점'!R36&lt;1,'채점'!R36&gt;4,MOD('채점'!R36,1)&lt;&gt;0),"잘못된 입력",IF('채점'!R36='채점'!R$8,"정답","오답"))))))</x:f>
        <x:v>오답</x:v>
      </x:c>
      <x:c r="S34" s="2" t="str">
        <x:f>IF('채점'!$C36="결시","결시",IF('채점'!S$45&lt;&gt;"등록","정답 미등록",IF('채점'!S36="","미응답",IF(NOT(ISNUMBER('채점'!S36)),"잘못된 입력",IF(OR('채점'!S36&lt;1,'채점'!S36&gt;4,MOD('채점'!S36,1)&lt;&gt;0),"잘못된 입력",IF('채점'!S36='채점'!S$8,"정답","오답"))))))</x:f>
        <x:v>오답</x:v>
      </x:c>
      <x:c r="T34" s="2" t="str">
        <x:f>IF('채점'!$C36="결시","결시",IF('채점'!T$45&lt;&gt;"등록","정답 미등록",IF('채점'!T36="","미응답",IF(NOT(ISNUMBER('채점'!T36)),"잘못된 입력",IF(OR('채점'!T36&lt;1,'채점'!T36&gt;4,MOD('채점'!T36,1)&lt;&gt;0),"잘못된 입력",IF('채점'!T36='채점'!T$8,"정답","오답"))))))</x:f>
        <x:v>정답</x:v>
      </x:c>
      <x:c r="U34" s="2" t="str">
        <x:f>IF('채점'!$C36="결시","결시",IF('채점'!U$45&lt;&gt;"등록","정답 미등록",IF('채점'!U36="","미응답",IF(NOT(ISNUMBER('채점'!U36)),"잘못된 입력",IF(OR('채점'!U36&lt;1,'채점'!U36&gt;4,MOD('채점'!U36,1)&lt;&gt;0),"잘못된 입력",IF('채점'!U36='채점'!U$8,"정답","오답"))))))</x:f>
        <x:v>오답</x:v>
      </x:c>
      <x:c r="V34" s="2" t="str">
        <x:f>IF('채점'!$C36="결시","결시",IF('채점'!V$45&lt;&gt;"등록","정답 미등록",IF('채점'!V36="","미응답",IF(NOT(ISNUMBER('채점'!V36)),"잘못된 입력",IF(OR('채점'!V36&lt;1,'채점'!V36&gt;4,MOD('채점'!V36,1)&lt;&gt;0),"잘못된 입력",IF('채점'!V36='채점'!V$8,"정답","오답"))))))</x:f>
        <x:v>오답</x:v>
      </x:c>
      <x:c r="W34" s="2" t="str">
        <x:f>IF('채점'!$C36="결시","결시",IF('채점'!W$45&lt;&gt;"등록","정답 미등록",IF('채점'!W36="","미응답",IF(NOT(ISNUMBER('채점'!W36)),"잘못된 입력",IF(OR('채점'!W36&lt;1,'채점'!W36&gt;4,MOD('채점'!W36,1)&lt;&gt;0),"잘못된 입력",IF('채점'!W36='채점'!W$8,"정답","오답"))))))</x:f>
        <x:v>정답</x:v>
      </x:c>
      <x:c r="X34" s="2" t="str">
        <x:f>IF('채점'!$C36="결시","결시",IF('채점'!X$45&lt;&gt;"등록","정답 미등록",IF('채점'!X36="","미응답",IF(NOT(ISNUMBER('채점'!X36)),"잘못된 입력",IF(OR('채점'!X36&lt;1,'채점'!X36&gt;4,MOD('채점'!X36,1)&lt;&gt;0),"잘못된 입력",IF('채점'!X36='채점'!X$8,"정답","오답"))))))</x:f>
        <x:v>정답</x:v>
      </x:c>
      <x:c r="Y34" s="2" t="str">
        <x:f>IF('채점'!$C36="결시","결시",IF('채점'!Y$45&lt;&gt;"등록","정답 미등록",IF('채점'!Y36="","미응답",IF(NOT(ISNUMBER('채점'!Y36)),"잘못된 입력",IF(OR('채점'!Y36&lt;1,'채점'!Y36&gt;4,MOD('채점'!Y36,1)&lt;&gt;0),"잘못된 입력",IF('채점'!Y36='채점'!Y$8,"정답","오답"))))))</x:f>
        <x:v>오답</x:v>
      </x:c>
      <x:c r="Z34" s="2" t="str">
        <x:f>IF('채점'!$C36="결시","결시",IF('채점'!Z$45&lt;&gt;"등록","정답 미등록",IF('채점'!Z36="","미응답",IF(NOT(ISNUMBER('채점'!Z36)),"잘못된 입력",IF(OR('채점'!Z36&lt;1,'채점'!Z36&gt;4,MOD('채점'!Z36,1)&lt;&gt;0),"잘못된 입력",IF('채점'!Z36='채점'!Z$8,"정답","오답"))))))</x:f>
        <x:v>정답</x:v>
      </x:c>
      <x:c r="AA34" s="2" t="str">
        <x:f>IF('채점'!$C36="결시","결시",IF('채점'!AA$45&lt;&gt;"등록","정답 미등록",IF('채점'!AA36="","미응답",IF(NOT(ISNUMBER('채점'!AA36)),"잘못된 입력",IF(OR('채점'!AA36&lt;1,'채점'!AA36&gt;4,MOD('채점'!AA36,1)&lt;&gt;0),"잘못된 입력",IF('채점'!AA36='채점'!AA$8,"정답","오답"))))))</x:f>
        <x:v>정답</x:v>
      </x:c>
      <x:c r="AB34" s="2" t="str">
        <x:f>IF('채점'!$C36="결시","결시",IF('채점'!AB$45&lt;&gt;"등록","정답 미등록",IF('채점'!AB36="","미응답",IF(NOT(ISNUMBER('채점'!AB36)),"잘못된 입력",IF(OR('채점'!AB36&lt;1,'채점'!AB36&gt;4,MOD('채점'!AB36,1)&lt;&gt;0),"잘못된 입력",IF('채점'!AB36='채점'!AB$8,"정답","오답"))))))</x:f>
        <x:v>오답</x:v>
      </x:c>
      <x:c r="AC34" s="2" t="str">
        <x:f>IF('채점'!$C36="결시","결시",IF('채점'!AC$45&lt;&gt;"등록","정답 미등록",IF('채점'!AC36="","미응답",IF(NOT(ISNUMBER('채점'!AC36)),"잘못된 입력",IF(OR('채점'!AC36&lt;1,'채점'!AC36&gt;4,MOD('채점'!AC36,1)&lt;&gt;0),"잘못된 입력",IF('채점'!AC36='채점'!AC$8,"정답","오답"))))))</x:f>
        <x:v>오답</x:v>
      </x:c>
      <x:c r="AD34" s="2" t="str">
        <x:f>IF('채점'!$C36="결시","결시",IF('채점'!AD$45&lt;&gt;"등록","정답 미등록",IF('채점'!AD36="","미응답",IF(NOT(ISNUMBER('채점'!AD36)),"잘못된 입력",IF(OR('채점'!AD36&lt;1,'채점'!AD36&gt;4,MOD('채점'!AD36,1)&lt;&gt;0),"잘못된 입력",IF('채점'!AD36='채점'!AD$8,"정답","오답"))))))</x:f>
        <x:v>정답</x:v>
      </x:c>
      <x:c r="AE34" s="2" t="str">
        <x:f>IF('채점'!$C36="결시","결시",IF('채점'!AE$45&lt;&gt;"등록","정답 미등록",IF('채점'!AE36="","미응답",IF(NOT(ISNUMBER('채점'!AE36)),"잘못된 입력",IF(OR('채점'!AE36&lt;1,'채점'!AE36&gt;4,MOD('채점'!AE36,1)&lt;&gt;0),"잘못된 입력",IF('채점'!AE36='채점'!AE$8,"정답","오답"))))))</x:f>
        <x:v>오답</x:v>
      </x:c>
      <x:c r="AF34" s="2" t="str">
        <x:f>IF('채점'!$C36="결시","결시",IF('채점'!AF$45&lt;&gt;"등록","정답 미등록",IF('채점'!AF36="","미응답",IF(NOT(ISNUMBER('채점'!AF36)),"잘못된 입력",IF(OR('채점'!AF36&lt;1,'채점'!AF36&gt;4,MOD('채점'!AF36,1)&lt;&gt;0),"잘못된 입력",IF('채점'!AF36='채점'!AF$8,"정답","오답"))))))</x:f>
        <x:v>오답</x:v>
      </x:c>
      <x:c r="AG34" s="2" t="str">
        <x:f>IF('채점'!$C36="결시","결시",IF('채점'!AG$45&lt;&gt;"등록","정답 미등록",IF('채점'!AG36="","미응답",IF(NOT(ISNUMBER('채점'!AG36)),"잘못된 입력",IF(OR('채점'!AG36&lt;1,'채점'!AG36&gt;4,MOD('채점'!AG36,1)&lt;&gt;0),"잘못된 입력",IF('채점'!AG36='채점'!AG$8,"정답","오답"))))))</x:f>
        <x:v>정답</x:v>
      </x:c>
      <x:c r="AH34" s="2" t="str">
        <x:f>IF('채점'!$C36="결시","결시",IF('채점'!AH$45&lt;&gt;"등록","정답 미등록",IF('채점'!AH36="","미응답",IF(NOT(ISNUMBER('채점'!AH36)),"잘못된 입력",IF(OR('채점'!AH36&lt;1,'채점'!AH36&gt;4,MOD('채점'!AH36,1)&lt;&gt;0),"잘못된 입력",IF('채점'!AH36='채점'!AH$8,"정답","오답"))))))</x:f>
        <x:v>정답</x:v>
      </x:c>
      <x:c r="AI34" s="2" t="str">
        <x:f>IF('채점'!$C36="결시","결시",IF('채점'!AI$45&lt;&gt;"등록","정답 미등록",IF('채점'!AI36="","미응답",IF(NOT(ISNUMBER('채점'!AI36)),"잘못된 입력",IF(OR('채점'!AI36&lt;1,'채점'!AI36&gt;4,MOD('채점'!AI36,1)&lt;&gt;0),"잘못된 입력",IF('채점'!AI36='채점'!AI$8,"정답","오답"))))))</x:f>
        <x:v>오답</x:v>
      </x:c>
      <x:c r="AJ34" s="2" t="str">
        <x:f>IF('채점'!$C36="결시","결시",IF('채점'!AJ$45&lt;&gt;"등록","정답 미등록",IF('채점'!AJ36="","미응답",IF(NOT(ISNUMBER('채점'!AJ36)),"잘못된 입력",IF(OR('채점'!AJ36&lt;1,'채점'!AJ36&gt;4,MOD('채점'!AJ36,1)&lt;&gt;0),"잘못된 입력",IF('채점'!AJ36='채점'!AJ$8,"정답","오답"))))))</x:f>
        <x:v>정답</x:v>
      </x:c>
      <x:c r="AK34" s="2" t="str">
        <x:f>IF('채점'!$C36="결시","결시",IF('채점'!AK$45&lt;&gt;"등록","정답 미등록",IF('채점'!AK36="","미응답",IF(NOT(ISNUMBER('채점'!AK36)),"잘못된 입력",IF(OR('채점'!AK36&lt;1,'채점'!AK36&gt;4,MOD('채점'!AK36,1)&lt;&gt;0),"잘못된 입력",IF('채점'!AK36='채점'!AK$8,"정답","오답"))))))</x:f>
        <x:v>정답</x:v>
      </x:c>
      <x:c r="AL34" s="2" t="str">
        <x:f>IF('채점'!$C36="결시","결시",IF('채점'!AL$45&lt;&gt;"등록","정답 미등록",IF('채점'!AL36="","미응답",IF(NOT(ISNUMBER('채점'!AL36)),"잘못된 입력",IF(OR('채점'!AL36&lt;1,'채점'!AL36&gt;4,MOD('채점'!AL36,1)&lt;&gt;0),"잘못된 입력",IF('채점'!AL36='채점'!AL$8,"정답","오답"))))))</x:f>
        <x:v>오답</x:v>
      </x:c>
      <x:c r="AM34" s="2" t="str">
        <x:f>IF('채점'!$C36="결시","결시",IF('채점'!AM$45&lt;&gt;"등록","정답 미등록",IF('채점'!AM36="","미응답",IF(NOT(ISNUMBER('채점'!AM36)),"잘못된 입력",IF(OR('채점'!AM36&lt;1,'채점'!AM36&gt;4,MOD('채점'!AM36,1)&lt;&gt;0),"잘못된 입력",IF('채점'!AM36='채점'!AM$8,"정답","오답"))))))</x:f>
        <x:v>오답</x:v>
      </x:c>
      <x:c r="AN34" s="2" t="str">
        <x:f>IF('채점'!$C36="결시","결시",IF('채점'!AN$45&lt;&gt;"등록","정답 미등록",IF('채점'!AN36="","미응답",IF(NOT(ISNUMBER('채점'!AN36)),"잘못된 입력",IF(OR('채점'!AN36&lt;1,'채점'!AN36&gt;4,MOD('채점'!AN36,1)&lt;&gt;0),"잘못된 입력",IF('채점'!AN36='채점'!AN$8,"정답","오답"))))))</x:f>
        <x:v>정답</x:v>
      </x:c>
      <x:c r="AO34" s="2" t="str">
        <x:f>IF('채점'!$C36="결시","결시",IF('채점'!AO$45&lt;&gt;"등록","정답 미등록",IF('채점'!AO36="","미응답",IF(NOT(ISNUMBER('채점'!AO36)),"잘못된 입력",IF(OR('채점'!AO36&lt;1,'채점'!AO36&gt;4,MOD('채점'!AO36,1)&lt;&gt;0),"잘못된 입력",IF('채점'!AO36='채점'!AO$8,"정답","오답"))))))</x:f>
        <x:v>오답</x:v>
      </x:c>
      <x:c r="AP34" s="2" t="str">
        <x:f>IF('채점'!$C36="결시","결시",IF('채점'!AP$45&lt;&gt;"등록","정답 미등록",IF('채점'!AP36="","미응답",IF(NOT(ISNUMBER('채점'!AP36)),"잘못된 입력",IF(OR('채점'!AP36&lt;1,'채점'!AP36&gt;4,MOD('채점'!AP36,1)&lt;&gt;0),"잘못된 입력",IF('채점'!AP36='채점'!AP$8,"정답","오답"))))))</x:f>
        <x:v>오답</x:v>
      </x:c>
      <x:c r="AQ34" s="2" t="str">
        <x:f>IF('채점'!$C36="결시","결시",IF('채점'!AQ$45&lt;&gt;"등록","정답 미등록",IF('채점'!AQ36="","미응답",IF(NOT(ISNUMBER('채점'!AQ36)),"잘못된 입력",IF(OR('채점'!AQ36&lt;1,'채점'!AQ36&gt;4,MOD('채점'!AQ36,1)&lt;&gt;0),"잘못된 입력",IF('채점'!AQ36='채점'!AQ$8,"정답","오답"))))))</x:f>
        <x:v>정답</x:v>
      </x:c>
    </x:row>
    <x:row r="35" ht="25" customHeight="1">
      <x:c r="A35" s="2" t="str">
        <x:f>'채점'!A37</x:f>
        <x:v>S028</x:v>
      </x:c>
      <x:c r="B35" s="2" t="str">
        <x:f>'채점'!C37</x:f>
        <x:v>결시</x:v>
      </x:c>
      <x:c r="C35" s="2"/>
      <x:c r="D35" s="2" t="str">
        <x:f>IF('채점'!$C37="결시","결시",IF('채점'!D$45&lt;&gt;"등록","정답 미등록",IF('채점'!D37="","미응답",IF(NOT(ISNUMBER('채점'!D37)),"잘못된 입력",IF(OR('채점'!D37&lt;1,'채점'!D37&gt;4,MOD('채점'!D37,1)&lt;&gt;0),"잘못된 입력",IF('채점'!D37='채점'!D$8,"정답","오답"))))))</x:f>
        <x:v>결시</x:v>
      </x:c>
      <x:c r="E35" s="2" t="str">
        <x:f>IF('채점'!$C37="결시","결시",IF('채점'!E$45&lt;&gt;"등록","정답 미등록",IF('채점'!E37="","미응답",IF(NOT(ISNUMBER('채점'!E37)),"잘못된 입력",IF(OR('채점'!E37&lt;1,'채점'!E37&gt;4,MOD('채점'!E37,1)&lt;&gt;0),"잘못된 입력",IF('채점'!E37='채점'!E$8,"정답","오답"))))))</x:f>
        <x:v>결시</x:v>
      </x:c>
      <x:c r="F35" s="2" t="str">
        <x:f>IF('채점'!$C37="결시","결시",IF('채점'!F$45&lt;&gt;"등록","정답 미등록",IF('채점'!F37="","미응답",IF(NOT(ISNUMBER('채점'!F37)),"잘못된 입력",IF(OR('채점'!F37&lt;1,'채점'!F37&gt;4,MOD('채점'!F37,1)&lt;&gt;0),"잘못된 입력",IF('채점'!F37='채점'!F$8,"정답","오답"))))))</x:f>
        <x:v>결시</x:v>
      </x:c>
      <x:c r="G35" s="2" t="str">
        <x:f>IF('채점'!$C37="결시","결시",IF('채점'!G$45&lt;&gt;"등록","정답 미등록",IF('채점'!G37="","미응답",IF(NOT(ISNUMBER('채점'!G37)),"잘못된 입력",IF(OR('채점'!G37&lt;1,'채점'!G37&gt;4,MOD('채점'!G37,1)&lt;&gt;0),"잘못된 입력",IF('채점'!G37='채점'!G$8,"정답","오답"))))))</x:f>
        <x:v>결시</x:v>
      </x:c>
      <x:c r="H35" s="2" t="str">
        <x:f>IF('채점'!$C37="결시","결시",IF('채점'!H$45&lt;&gt;"등록","정답 미등록",IF('채점'!H37="","미응답",IF(NOT(ISNUMBER('채점'!H37)),"잘못된 입력",IF(OR('채점'!H37&lt;1,'채점'!H37&gt;4,MOD('채점'!H37,1)&lt;&gt;0),"잘못된 입력",IF('채점'!H37='채점'!H$8,"정답","오답"))))))</x:f>
        <x:v>결시</x:v>
      </x:c>
      <x:c r="I35" s="2" t="str">
        <x:f>IF('채점'!$C37="결시","결시",IF('채점'!I$45&lt;&gt;"등록","정답 미등록",IF('채점'!I37="","미응답",IF(NOT(ISNUMBER('채점'!I37)),"잘못된 입력",IF(OR('채점'!I37&lt;1,'채점'!I37&gt;4,MOD('채점'!I37,1)&lt;&gt;0),"잘못된 입력",IF('채점'!I37='채점'!I$8,"정답","오답"))))))</x:f>
        <x:v>결시</x:v>
      </x:c>
      <x:c r="J35" s="2" t="str">
        <x:f>IF('채점'!$C37="결시","결시",IF('채점'!J$45&lt;&gt;"등록","정답 미등록",IF('채점'!J37="","미응답",IF(NOT(ISNUMBER('채점'!J37)),"잘못된 입력",IF(OR('채점'!J37&lt;1,'채점'!J37&gt;4,MOD('채점'!J37,1)&lt;&gt;0),"잘못된 입력",IF('채점'!J37='채점'!J$8,"정답","오답"))))))</x:f>
        <x:v>결시</x:v>
      </x:c>
      <x:c r="K35" s="2" t="str">
        <x:f>IF('채점'!$C37="결시","결시",IF('채점'!K$45&lt;&gt;"등록","정답 미등록",IF('채점'!K37="","미응답",IF(NOT(ISNUMBER('채점'!K37)),"잘못된 입력",IF(OR('채점'!K37&lt;1,'채점'!K37&gt;4,MOD('채점'!K37,1)&lt;&gt;0),"잘못된 입력",IF('채점'!K37='채점'!K$8,"정답","오답"))))))</x:f>
        <x:v>결시</x:v>
      </x:c>
      <x:c r="L35" s="2" t="str">
        <x:f>IF('채점'!$C37="결시","결시",IF('채점'!L$45&lt;&gt;"등록","정답 미등록",IF('채점'!L37="","미응답",IF(NOT(ISNUMBER('채점'!L37)),"잘못된 입력",IF(OR('채점'!L37&lt;1,'채점'!L37&gt;4,MOD('채점'!L37,1)&lt;&gt;0),"잘못된 입력",IF('채점'!L37='채점'!L$8,"정답","오답"))))))</x:f>
        <x:v>결시</x:v>
      </x:c>
      <x:c r="M35" s="2" t="str">
        <x:f>IF('채점'!$C37="결시","결시",IF('채점'!M$45&lt;&gt;"등록","정답 미등록",IF('채점'!M37="","미응답",IF(NOT(ISNUMBER('채점'!M37)),"잘못된 입력",IF(OR('채점'!M37&lt;1,'채점'!M37&gt;4,MOD('채점'!M37,1)&lt;&gt;0),"잘못된 입력",IF('채점'!M37='채점'!M$8,"정답","오답"))))))</x:f>
        <x:v>결시</x:v>
      </x:c>
      <x:c r="N35" s="2" t="str">
        <x:f>IF('채점'!$C37="결시","결시",IF('채점'!N$45&lt;&gt;"등록","정답 미등록",IF('채점'!N37="","미응답",IF(NOT(ISNUMBER('채점'!N37)),"잘못된 입력",IF(OR('채점'!N37&lt;1,'채점'!N37&gt;4,MOD('채점'!N37,1)&lt;&gt;0),"잘못된 입력",IF('채점'!N37='채점'!N$8,"정답","오답"))))))</x:f>
        <x:v>결시</x:v>
      </x:c>
      <x:c r="O35" s="2" t="str">
        <x:f>IF('채점'!$C37="결시","결시",IF('채점'!O$45&lt;&gt;"등록","정답 미등록",IF('채점'!O37="","미응답",IF(NOT(ISNUMBER('채점'!O37)),"잘못된 입력",IF(OR('채점'!O37&lt;1,'채점'!O37&gt;4,MOD('채점'!O37,1)&lt;&gt;0),"잘못된 입력",IF('채점'!O37='채점'!O$8,"정답","오답"))))))</x:f>
        <x:v>결시</x:v>
      </x:c>
      <x:c r="P35" s="2" t="str">
        <x:f>IF('채점'!$C37="결시","결시",IF('채점'!P$45&lt;&gt;"등록","정답 미등록",IF('채점'!P37="","미응답",IF(NOT(ISNUMBER('채점'!P37)),"잘못된 입력",IF(OR('채점'!P37&lt;1,'채점'!P37&gt;4,MOD('채점'!P37,1)&lt;&gt;0),"잘못된 입력",IF('채점'!P37='채점'!P$8,"정답","오답"))))))</x:f>
        <x:v>결시</x:v>
      </x:c>
      <x:c r="Q35" s="2" t="str">
        <x:f>IF('채점'!$C37="결시","결시",IF('채점'!Q$45&lt;&gt;"등록","정답 미등록",IF('채점'!Q37="","미응답",IF(NOT(ISNUMBER('채점'!Q37)),"잘못된 입력",IF(OR('채점'!Q37&lt;1,'채점'!Q37&gt;4,MOD('채점'!Q37,1)&lt;&gt;0),"잘못된 입력",IF('채점'!Q37='채점'!Q$8,"정답","오답"))))))</x:f>
        <x:v>결시</x:v>
      </x:c>
      <x:c r="R35" s="2" t="str">
        <x:f>IF('채점'!$C37="결시","결시",IF('채점'!R$45&lt;&gt;"등록","정답 미등록",IF('채점'!R37="","미응답",IF(NOT(ISNUMBER('채점'!R37)),"잘못된 입력",IF(OR('채점'!R37&lt;1,'채점'!R37&gt;4,MOD('채점'!R37,1)&lt;&gt;0),"잘못된 입력",IF('채점'!R37='채점'!R$8,"정답","오답"))))))</x:f>
        <x:v>결시</x:v>
      </x:c>
      <x:c r="S35" s="2" t="str">
        <x:f>IF('채점'!$C37="결시","결시",IF('채점'!S$45&lt;&gt;"등록","정답 미등록",IF('채점'!S37="","미응답",IF(NOT(ISNUMBER('채점'!S37)),"잘못된 입력",IF(OR('채점'!S37&lt;1,'채점'!S37&gt;4,MOD('채점'!S37,1)&lt;&gt;0),"잘못된 입력",IF('채점'!S37='채점'!S$8,"정답","오답"))))))</x:f>
        <x:v>결시</x:v>
      </x:c>
      <x:c r="T35" s="2" t="str">
        <x:f>IF('채점'!$C37="결시","결시",IF('채점'!T$45&lt;&gt;"등록","정답 미등록",IF('채점'!T37="","미응답",IF(NOT(ISNUMBER('채점'!T37)),"잘못된 입력",IF(OR('채점'!T37&lt;1,'채점'!T37&gt;4,MOD('채점'!T37,1)&lt;&gt;0),"잘못된 입력",IF('채점'!T37='채점'!T$8,"정답","오답"))))))</x:f>
        <x:v>결시</x:v>
      </x:c>
      <x:c r="U35" s="2" t="str">
        <x:f>IF('채점'!$C37="결시","결시",IF('채점'!U$45&lt;&gt;"등록","정답 미등록",IF('채점'!U37="","미응답",IF(NOT(ISNUMBER('채점'!U37)),"잘못된 입력",IF(OR('채점'!U37&lt;1,'채점'!U37&gt;4,MOD('채점'!U37,1)&lt;&gt;0),"잘못된 입력",IF('채점'!U37='채점'!U$8,"정답","오답"))))))</x:f>
        <x:v>결시</x:v>
      </x:c>
      <x:c r="V35" s="2" t="str">
        <x:f>IF('채점'!$C37="결시","결시",IF('채점'!V$45&lt;&gt;"등록","정답 미등록",IF('채점'!V37="","미응답",IF(NOT(ISNUMBER('채점'!V37)),"잘못된 입력",IF(OR('채점'!V37&lt;1,'채점'!V37&gt;4,MOD('채점'!V37,1)&lt;&gt;0),"잘못된 입력",IF('채점'!V37='채점'!V$8,"정답","오답"))))))</x:f>
        <x:v>결시</x:v>
      </x:c>
      <x:c r="W35" s="2" t="str">
        <x:f>IF('채점'!$C37="결시","결시",IF('채점'!W$45&lt;&gt;"등록","정답 미등록",IF('채점'!W37="","미응답",IF(NOT(ISNUMBER('채점'!W37)),"잘못된 입력",IF(OR('채점'!W37&lt;1,'채점'!W37&gt;4,MOD('채점'!W37,1)&lt;&gt;0),"잘못된 입력",IF('채점'!W37='채점'!W$8,"정답","오답"))))))</x:f>
        <x:v>결시</x:v>
      </x:c>
      <x:c r="X35" s="2" t="str">
        <x:f>IF('채점'!$C37="결시","결시",IF('채점'!X$45&lt;&gt;"등록","정답 미등록",IF('채점'!X37="","미응답",IF(NOT(ISNUMBER('채점'!X37)),"잘못된 입력",IF(OR('채점'!X37&lt;1,'채점'!X37&gt;4,MOD('채점'!X37,1)&lt;&gt;0),"잘못된 입력",IF('채점'!X37='채점'!X$8,"정답","오답"))))))</x:f>
        <x:v>결시</x:v>
      </x:c>
      <x:c r="Y35" s="2" t="str">
        <x:f>IF('채점'!$C37="결시","결시",IF('채점'!Y$45&lt;&gt;"등록","정답 미등록",IF('채점'!Y37="","미응답",IF(NOT(ISNUMBER('채점'!Y37)),"잘못된 입력",IF(OR('채점'!Y37&lt;1,'채점'!Y37&gt;4,MOD('채점'!Y37,1)&lt;&gt;0),"잘못된 입력",IF('채점'!Y37='채점'!Y$8,"정답","오답"))))))</x:f>
        <x:v>결시</x:v>
      </x:c>
      <x:c r="Z35" s="2" t="str">
        <x:f>IF('채점'!$C37="결시","결시",IF('채점'!Z$45&lt;&gt;"등록","정답 미등록",IF('채점'!Z37="","미응답",IF(NOT(ISNUMBER('채점'!Z37)),"잘못된 입력",IF(OR('채점'!Z37&lt;1,'채점'!Z37&gt;4,MOD('채점'!Z37,1)&lt;&gt;0),"잘못된 입력",IF('채점'!Z37='채점'!Z$8,"정답","오답"))))))</x:f>
        <x:v>결시</x:v>
      </x:c>
      <x:c r="AA35" s="2" t="str">
        <x:f>IF('채점'!$C37="결시","결시",IF('채점'!AA$45&lt;&gt;"등록","정답 미등록",IF('채점'!AA37="","미응답",IF(NOT(ISNUMBER('채점'!AA37)),"잘못된 입력",IF(OR('채점'!AA37&lt;1,'채점'!AA37&gt;4,MOD('채점'!AA37,1)&lt;&gt;0),"잘못된 입력",IF('채점'!AA37='채점'!AA$8,"정답","오답"))))))</x:f>
        <x:v>결시</x:v>
      </x:c>
      <x:c r="AB35" s="2" t="str">
        <x:f>IF('채점'!$C37="결시","결시",IF('채점'!AB$45&lt;&gt;"등록","정답 미등록",IF('채점'!AB37="","미응답",IF(NOT(ISNUMBER('채점'!AB37)),"잘못된 입력",IF(OR('채점'!AB37&lt;1,'채점'!AB37&gt;4,MOD('채점'!AB37,1)&lt;&gt;0),"잘못된 입력",IF('채점'!AB37='채점'!AB$8,"정답","오답"))))))</x:f>
        <x:v>결시</x:v>
      </x:c>
      <x:c r="AC35" s="2" t="str">
        <x:f>IF('채점'!$C37="결시","결시",IF('채점'!AC$45&lt;&gt;"등록","정답 미등록",IF('채점'!AC37="","미응답",IF(NOT(ISNUMBER('채점'!AC37)),"잘못된 입력",IF(OR('채점'!AC37&lt;1,'채점'!AC37&gt;4,MOD('채점'!AC37,1)&lt;&gt;0),"잘못된 입력",IF('채점'!AC37='채점'!AC$8,"정답","오답"))))))</x:f>
        <x:v>결시</x:v>
      </x:c>
      <x:c r="AD35" s="2" t="str">
        <x:f>IF('채점'!$C37="결시","결시",IF('채점'!AD$45&lt;&gt;"등록","정답 미등록",IF('채점'!AD37="","미응답",IF(NOT(ISNUMBER('채점'!AD37)),"잘못된 입력",IF(OR('채점'!AD37&lt;1,'채점'!AD37&gt;4,MOD('채점'!AD37,1)&lt;&gt;0),"잘못된 입력",IF('채점'!AD37='채점'!AD$8,"정답","오답"))))))</x:f>
        <x:v>결시</x:v>
      </x:c>
      <x:c r="AE35" s="2" t="str">
        <x:f>IF('채점'!$C37="결시","결시",IF('채점'!AE$45&lt;&gt;"등록","정답 미등록",IF('채점'!AE37="","미응답",IF(NOT(ISNUMBER('채점'!AE37)),"잘못된 입력",IF(OR('채점'!AE37&lt;1,'채점'!AE37&gt;4,MOD('채점'!AE37,1)&lt;&gt;0),"잘못된 입력",IF('채점'!AE37='채점'!AE$8,"정답","오답"))))))</x:f>
        <x:v>결시</x:v>
      </x:c>
      <x:c r="AF35" s="2" t="str">
        <x:f>IF('채점'!$C37="결시","결시",IF('채점'!AF$45&lt;&gt;"등록","정답 미등록",IF('채점'!AF37="","미응답",IF(NOT(ISNUMBER('채점'!AF37)),"잘못된 입력",IF(OR('채점'!AF37&lt;1,'채점'!AF37&gt;4,MOD('채점'!AF37,1)&lt;&gt;0),"잘못된 입력",IF('채점'!AF37='채점'!AF$8,"정답","오답"))))))</x:f>
        <x:v>결시</x:v>
      </x:c>
      <x:c r="AG35" s="2" t="str">
        <x:f>IF('채점'!$C37="결시","결시",IF('채점'!AG$45&lt;&gt;"등록","정답 미등록",IF('채점'!AG37="","미응답",IF(NOT(ISNUMBER('채점'!AG37)),"잘못된 입력",IF(OR('채점'!AG37&lt;1,'채점'!AG37&gt;4,MOD('채점'!AG37,1)&lt;&gt;0),"잘못된 입력",IF('채점'!AG37='채점'!AG$8,"정답","오답"))))))</x:f>
        <x:v>결시</x:v>
      </x:c>
      <x:c r="AH35" s="2" t="str">
        <x:f>IF('채점'!$C37="결시","결시",IF('채점'!AH$45&lt;&gt;"등록","정답 미등록",IF('채점'!AH37="","미응답",IF(NOT(ISNUMBER('채점'!AH37)),"잘못된 입력",IF(OR('채점'!AH37&lt;1,'채점'!AH37&gt;4,MOD('채점'!AH37,1)&lt;&gt;0),"잘못된 입력",IF('채점'!AH37='채점'!AH$8,"정답","오답"))))))</x:f>
        <x:v>결시</x:v>
      </x:c>
      <x:c r="AI35" s="2" t="str">
        <x:f>IF('채점'!$C37="결시","결시",IF('채점'!AI$45&lt;&gt;"등록","정답 미등록",IF('채점'!AI37="","미응답",IF(NOT(ISNUMBER('채점'!AI37)),"잘못된 입력",IF(OR('채점'!AI37&lt;1,'채점'!AI37&gt;4,MOD('채점'!AI37,1)&lt;&gt;0),"잘못된 입력",IF('채점'!AI37='채점'!AI$8,"정답","오답"))))))</x:f>
        <x:v>결시</x:v>
      </x:c>
      <x:c r="AJ35" s="2" t="str">
        <x:f>IF('채점'!$C37="결시","결시",IF('채점'!AJ$45&lt;&gt;"등록","정답 미등록",IF('채점'!AJ37="","미응답",IF(NOT(ISNUMBER('채점'!AJ37)),"잘못된 입력",IF(OR('채점'!AJ37&lt;1,'채점'!AJ37&gt;4,MOD('채점'!AJ37,1)&lt;&gt;0),"잘못된 입력",IF('채점'!AJ37='채점'!AJ$8,"정답","오답"))))))</x:f>
        <x:v>결시</x:v>
      </x:c>
      <x:c r="AK35" s="2" t="str">
        <x:f>IF('채점'!$C37="결시","결시",IF('채점'!AK$45&lt;&gt;"등록","정답 미등록",IF('채점'!AK37="","미응답",IF(NOT(ISNUMBER('채점'!AK37)),"잘못된 입력",IF(OR('채점'!AK37&lt;1,'채점'!AK37&gt;4,MOD('채점'!AK37,1)&lt;&gt;0),"잘못된 입력",IF('채점'!AK37='채점'!AK$8,"정답","오답"))))))</x:f>
        <x:v>결시</x:v>
      </x:c>
      <x:c r="AL35" s="2" t="str">
        <x:f>IF('채점'!$C37="결시","결시",IF('채점'!AL$45&lt;&gt;"등록","정답 미등록",IF('채점'!AL37="","미응답",IF(NOT(ISNUMBER('채점'!AL37)),"잘못된 입력",IF(OR('채점'!AL37&lt;1,'채점'!AL37&gt;4,MOD('채점'!AL37,1)&lt;&gt;0),"잘못된 입력",IF('채점'!AL37='채점'!AL$8,"정답","오답"))))))</x:f>
        <x:v>결시</x:v>
      </x:c>
      <x:c r="AM35" s="2" t="str">
        <x:f>IF('채점'!$C37="결시","결시",IF('채점'!AM$45&lt;&gt;"등록","정답 미등록",IF('채점'!AM37="","미응답",IF(NOT(ISNUMBER('채점'!AM37)),"잘못된 입력",IF(OR('채점'!AM37&lt;1,'채점'!AM37&gt;4,MOD('채점'!AM37,1)&lt;&gt;0),"잘못된 입력",IF('채점'!AM37='채점'!AM$8,"정답","오답"))))))</x:f>
        <x:v>결시</x:v>
      </x:c>
      <x:c r="AN35" s="2" t="str">
        <x:f>IF('채점'!$C37="결시","결시",IF('채점'!AN$45&lt;&gt;"등록","정답 미등록",IF('채점'!AN37="","미응답",IF(NOT(ISNUMBER('채점'!AN37)),"잘못된 입력",IF(OR('채점'!AN37&lt;1,'채점'!AN37&gt;4,MOD('채점'!AN37,1)&lt;&gt;0),"잘못된 입력",IF('채점'!AN37='채점'!AN$8,"정답","오답"))))))</x:f>
        <x:v>결시</x:v>
      </x:c>
      <x:c r="AO35" s="2" t="str">
        <x:f>IF('채점'!$C37="결시","결시",IF('채점'!AO$45&lt;&gt;"등록","정답 미등록",IF('채점'!AO37="","미응답",IF(NOT(ISNUMBER('채점'!AO37)),"잘못된 입력",IF(OR('채점'!AO37&lt;1,'채점'!AO37&gt;4,MOD('채점'!AO37,1)&lt;&gt;0),"잘못된 입력",IF('채점'!AO37='채점'!AO$8,"정답","오답"))))))</x:f>
        <x:v>결시</x:v>
      </x:c>
      <x:c r="AP35" s="2" t="str">
        <x:f>IF('채점'!$C37="결시","결시",IF('채점'!AP$45&lt;&gt;"등록","정답 미등록",IF('채점'!AP37="","미응답",IF(NOT(ISNUMBER('채점'!AP37)),"잘못된 입력",IF(OR('채점'!AP37&lt;1,'채점'!AP37&gt;4,MOD('채점'!AP37,1)&lt;&gt;0),"잘못된 입력",IF('채점'!AP37='채점'!AP$8,"정답","오답"))))))</x:f>
        <x:v>결시</x:v>
      </x:c>
      <x:c r="AQ35" s="2" t="str">
        <x:f>IF('채점'!$C37="결시","결시",IF('채점'!AQ$45&lt;&gt;"등록","정답 미등록",IF('채점'!AQ37="","미응답",IF(NOT(ISNUMBER('채점'!AQ37)),"잘못된 입력",IF(OR('채점'!AQ37&lt;1,'채점'!AQ37&gt;4,MOD('채점'!AQ37,1)&lt;&gt;0),"잘못된 입력",IF('채점'!AQ37='채점'!AQ$8,"정답","오답"))))))</x:f>
        <x:v>결시</x:v>
      </x:c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</x:row>
  </x:sheetData>
  <x:conditionalFormatting sqref="D8:AQ35">
    <x:cfRule type="expression" dxfId="6" priority="1">
      <x:formula>D8="정답"</x:formula>
    </x:cfRule>
    <x:cfRule type="expression" dxfId="7" priority="2">
      <x:formula>OR(D8="미응답",D8="잘못된 입력",D8="정답 미등록")</x:formula>
    </x:cfRule>
  </x:conditionalFormatting>
  <x:pageMargins left="0.7" right="0.7" top="0.75" bottom="0.75" header="0.3" footer="0.3"/>
</x:worksheet>
</file>